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j_d_h\Downloads\"/>
    </mc:Choice>
  </mc:AlternateContent>
  <xr:revisionPtr revIDLastSave="0" documentId="13_ncr:1_{33AA2D90-1FEF-43DE-997E-7CF82886E14B}" xr6:coauthVersionLast="47" xr6:coauthVersionMax="47" xr10:uidLastSave="{00000000-0000-0000-0000-000000000000}"/>
  <bookViews>
    <workbookView xWindow="40605" yWindow="-120" windowWidth="29040" windowHeight="15720" xr2:uid="{00000000-000D-0000-FFFF-FFFF00000000}"/>
  </bookViews>
  <sheets>
    <sheet name="Cover Sheet" sheetId="1" r:id="rId1"/>
    <sheet name="2022 Balance Sheet" sheetId="2" r:id="rId2"/>
    <sheet name="Additional Information" sheetId="3" r:id="rId3"/>
    <sheet name="Sales Budget" sheetId="4" r:id="rId4"/>
    <sheet name="Expected Cash Collections" sheetId="5" r:id="rId5"/>
    <sheet name="Production Budget" sheetId="6" r:id="rId6"/>
    <sheet name="Direct Mats Budget" sheetId="7" r:id="rId7"/>
    <sheet name="Cash Disbursement Mats" sheetId="8" r:id="rId8"/>
    <sheet name="Direct Labor Budget" sheetId="9" r:id="rId9"/>
    <sheet name="Mfg OH Budget" sheetId="10" r:id="rId10"/>
    <sheet name="Selling Admin Budget" sheetId="11" r:id="rId11"/>
    <sheet name="Ending Finished Goods Inventory" sheetId="14" r:id="rId12"/>
    <sheet name="Cash Budget" sheetId="12" r:id="rId13"/>
    <sheet name="Budgeted Income Statement" sheetId="13" r:id="rId14"/>
    <sheet name="Budgeted Balance Sheet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5" l="1"/>
  <c r="E7" i="13"/>
  <c r="B19" i="13"/>
  <c r="B18" i="13"/>
  <c r="B21" i="13"/>
  <c r="E9" i="13"/>
  <c r="I3" i="12"/>
  <c r="C12" i="10"/>
  <c r="B20" i="13"/>
  <c r="B22" i="13" s="1"/>
  <c r="I13" i="12"/>
  <c r="G6" i="7"/>
  <c r="E6" i="7"/>
  <c r="C6" i="7"/>
  <c r="C23" i="7"/>
  <c r="C22" i="7"/>
  <c r="C24" i="7" s="1"/>
  <c r="C8" i="7" s="1"/>
  <c r="G4" i="6"/>
  <c r="E4" i="6"/>
  <c r="C4" i="6"/>
  <c r="C6" i="6"/>
  <c r="C20" i="6"/>
  <c r="C19" i="6"/>
  <c r="C18" i="6"/>
  <c r="C22" i="5"/>
  <c r="C25" i="15"/>
  <c r="G18" i="12"/>
  <c r="E18" i="12"/>
  <c r="I11" i="7"/>
  <c r="G11" i="7"/>
  <c r="E11" i="7"/>
  <c r="C11" i="7"/>
  <c r="C17" i="7"/>
  <c r="C19" i="7" s="1"/>
  <c r="C12" i="6"/>
  <c r="C11" i="6"/>
  <c r="E5" i="4"/>
  <c r="C5" i="4"/>
  <c r="E5" i="15"/>
  <c r="D6" i="14"/>
  <c r="G5" i="14"/>
  <c r="F5" i="14"/>
  <c r="D5" i="14"/>
  <c r="G4" i="14"/>
  <c r="F4" i="14"/>
  <c r="D4" i="14"/>
  <c r="E5" i="2"/>
  <c r="I17" i="12"/>
  <c r="I16" i="12"/>
  <c r="G19" i="12"/>
  <c r="E19" i="12"/>
  <c r="C19" i="12"/>
  <c r="I19" i="12" s="1"/>
  <c r="G12" i="12"/>
  <c r="I12" i="12" s="1"/>
  <c r="C11" i="12"/>
  <c r="I11" i="12" s="1"/>
  <c r="C3" i="12"/>
  <c r="E8" i="11"/>
  <c r="G8" i="11"/>
  <c r="C8" i="11"/>
  <c r="I8" i="11" s="1"/>
  <c r="E6" i="11"/>
  <c r="G6" i="11"/>
  <c r="C6" i="11"/>
  <c r="I6" i="11" s="1"/>
  <c r="I4" i="11"/>
  <c r="E4" i="11"/>
  <c r="G4" i="11"/>
  <c r="C4" i="11"/>
  <c r="G3" i="11"/>
  <c r="G5" i="11" s="1"/>
  <c r="G7" i="11" s="1"/>
  <c r="G9" i="11" s="1"/>
  <c r="E3" i="11"/>
  <c r="E5" i="11" s="1"/>
  <c r="E7" i="11" s="1"/>
  <c r="E9" i="11" s="1"/>
  <c r="E10" i="12" s="1"/>
  <c r="C3" i="11"/>
  <c r="E8" i="10"/>
  <c r="G8" i="10"/>
  <c r="C8" i="10"/>
  <c r="I8" i="10" s="1"/>
  <c r="G6" i="10"/>
  <c r="E6" i="10"/>
  <c r="C6" i="10"/>
  <c r="I6" i="10" s="1"/>
  <c r="I4" i="10"/>
  <c r="E4" i="10"/>
  <c r="G4" i="10"/>
  <c r="C4" i="10"/>
  <c r="I6" i="9"/>
  <c r="E6" i="9"/>
  <c r="G6" i="9"/>
  <c r="C6" i="9"/>
  <c r="I4" i="9"/>
  <c r="G4" i="9"/>
  <c r="E4" i="9"/>
  <c r="C4" i="9"/>
  <c r="C3" i="8"/>
  <c r="I3" i="8" s="1"/>
  <c r="I4" i="7"/>
  <c r="G4" i="7"/>
  <c r="E4" i="7"/>
  <c r="C4" i="7"/>
  <c r="G6" i="6"/>
  <c r="E6" i="6"/>
  <c r="I6" i="6"/>
  <c r="I4" i="6"/>
  <c r="G9" i="14" s="1"/>
  <c r="G3" i="6"/>
  <c r="G5" i="6" s="1"/>
  <c r="G7" i="6" s="1"/>
  <c r="E3" i="6"/>
  <c r="E5" i="6" s="1"/>
  <c r="E7" i="6" s="1"/>
  <c r="C3" i="6"/>
  <c r="C5" i="6" s="1"/>
  <c r="C7" i="6" s="1"/>
  <c r="I3" i="6"/>
  <c r="I5" i="6" s="1"/>
  <c r="I7" i="6" s="1"/>
  <c r="G21" i="5"/>
  <c r="I21" i="5" s="1"/>
  <c r="G20" i="5"/>
  <c r="G22" i="5" s="1"/>
  <c r="E18" i="5"/>
  <c r="E22" i="5" s="1"/>
  <c r="G32" i="5"/>
  <c r="G3" i="5" s="1"/>
  <c r="G12" i="5"/>
  <c r="I12" i="5" s="1"/>
  <c r="G10" i="5"/>
  <c r="I10" i="5" s="1"/>
  <c r="E9" i="5"/>
  <c r="I9" i="5" s="1"/>
  <c r="G7" i="5"/>
  <c r="E6" i="5"/>
  <c r="I6" i="5" s="1"/>
  <c r="C5" i="5"/>
  <c r="I5" i="5" s="1"/>
  <c r="E31" i="5"/>
  <c r="C30" i="5"/>
  <c r="I30" i="5" s="1"/>
  <c r="C28" i="5"/>
  <c r="I5" i="4"/>
  <c r="E6" i="13" s="1"/>
  <c r="E8" i="13" s="1"/>
  <c r="G5" i="4"/>
  <c r="I3" i="4"/>
  <c r="I4" i="4"/>
  <c r="G4" i="4"/>
  <c r="E4" i="4"/>
  <c r="C4" i="4"/>
  <c r="G3" i="4"/>
  <c r="E3" i="4"/>
  <c r="C3" i="4"/>
  <c r="E20" i="2"/>
  <c r="E17" i="2"/>
  <c r="E15" i="2"/>
  <c r="E12" i="2"/>
  <c r="E10" i="2"/>
  <c r="G13" i="5" l="1"/>
  <c r="C3" i="9"/>
  <c r="C3" i="7"/>
  <c r="E3" i="9"/>
  <c r="E5" i="9" s="1"/>
  <c r="E3" i="7"/>
  <c r="E5" i="7" s="1"/>
  <c r="G3" i="9"/>
  <c r="G5" i="9" s="1"/>
  <c r="G3" i="7"/>
  <c r="G5" i="7" s="1"/>
  <c r="C14" i="6"/>
  <c r="C13" i="6"/>
  <c r="C15" i="6" s="1"/>
  <c r="I6" i="7" s="1"/>
  <c r="C24" i="15" s="1"/>
  <c r="E8" i="15" s="1"/>
  <c r="I18" i="12"/>
  <c r="E11" i="13" s="1"/>
  <c r="C5" i="11"/>
  <c r="C7" i="11" s="1"/>
  <c r="C9" i="11" s="1"/>
  <c r="C10" i="12" s="1"/>
  <c r="I3" i="11"/>
  <c r="I5" i="11" s="1"/>
  <c r="I7" i="11" s="1"/>
  <c r="I9" i="11" s="1"/>
  <c r="E10" i="13" s="1"/>
  <c r="E12" i="13" s="1"/>
  <c r="E19" i="15" s="1"/>
  <c r="G10" i="12"/>
  <c r="C5" i="7"/>
  <c r="I3" i="7"/>
  <c r="I5" i="7" s="1"/>
  <c r="I7" i="7" s="1"/>
  <c r="E8" i="7"/>
  <c r="G8" i="7"/>
  <c r="G7" i="7"/>
  <c r="G9" i="7" s="1"/>
  <c r="G12" i="7" s="1"/>
  <c r="E7" i="7"/>
  <c r="E9" i="7" s="1"/>
  <c r="E12" i="7" s="1"/>
  <c r="I7" i="5"/>
  <c r="G4" i="12"/>
  <c r="I18" i="5"/>
  <c r="I20" i="5"/>
  <c r="I28" i="5"/>
  <c r="C32" i="5"/>
  <c r="I31" i="5"/>
  <c r="E32" i="5"/>
  <c r="I22" i="5" l="1"/>
  <c r="G9" i="8"/>
  <c r="E8" i="8"/>
  <c r="I8" i="8" s="1"/>
  <c r="G3" i="10"/>
  <c r="G5" i="10" s="1"/>
  <c r="G7" i="10" s="1"/>
  <c r="G9" i="10" s="1"/>
  <c r="G9" i="12" s="1"/>
  <c r="G7" i="9"/>
  <c r="G8" i="12" s="1"/>
  <c r="E3" i="10"/>
  <c r="E5" i="10" s="1"/>
  <c r="E7" i="10" s="1"/>
  <c r="E9" i="10" s="1"/>
  <c r="E9" i="12" s="1"/>
  <c r="E7" i="9"/>
  <c r="E8" i="12" s="1"/>
  <c r="C5" i="9"/>
  <c r="I3" i="9"/>
  <c r="I5" i="9" s="1"/>
  <c r="I10" i="12"/>
  <c r="G15" i="8"/>
  <c r="I15" i="8" s="1"/>
  <c r="G11" i="8"/>
  <c r="I11" i="8" s="1"/>
  <c r="I8" i="7"/>
  <c r="I9" i="7" s="1"/>
  <c r="I12" i="7" s="1"/>
  <c r="C18" i="8" s="1"/>
  <c r="C7" i="7"/>
  <c r="C9" i="7" s="1"/>
  <c r="C12" i="7" s="1"/>
  <c r="E3" i="5"/>
  <c r="E13" i="5" s="1"/>
  <c r="E4" i="12" s="1"/>
  <c r="C3" i="5"/>
  <c r="C13" i="5" s="1"/>
  <c r="C4" i="12" s="1"/>
  <c r="E7" i="15"/>
  <c r="I32" i="5"/>
  <c r="I3" i="5" s="1"/>
  <c r="I13" i="5" s="1"/>
  <c r="E14" i="15" l="1"/>
  <c r="E15" i="15" s="1"/>
  <c r="E17" i="15" s="1"/>
  <c r="E20" i="15" s="1"/>
  <c r="I3" i="10"/>
  <c r="I5" i="10" s="1"/>
  <c r="I7" i="10" s="1"/>
  <c r="I9" i="10" s="1"/>
  <c r="I7" i="9"/>
  <c r="C3" i="10"/>
  <c r="C5" i="10" s="1"/>
  <c r="C7" i="10" s="1"/>
  <c r="C9" i="10" s="1"/>
  <c r="C9" i="12" s="1"/>
  <c r="I9" i="12" s="1"/>
  <c r="C7" i="9"/>
  <c r="C8" i="12" s="1"/>
  <c r="I8" i="12" s="1"/>
  <c r="I9" i="8"/>
  <c r="G12" i="8"/>
  <c r="G7" i="12" s="1"/>
  <c r="I4" i="12"/>
  <c r="C5" i="12"/>
  <c r="F6" i="14" l="1"/>
  <c r="G6" i="14" s="1"/>
  <c r="G7" i="14" s="1"/>
  <c r="G10" i="14" s="1"/>
  <c r="G11" i="14" s="1"/>
  <c r="E9" i="15" s="1"/>
  <c r="G13" i="12"/>
  <c r="C5" i="8"/>
  <c r="C12" i="8"/>
  <c r="C7" i="12"/>
  <c r="C13" i="12" s="1"/>
  <c r="C14" i="12" s="1"/>
  <c r="C20" i="12" s="1"/>
  <c r="E3" i="12" s="1"/>
  <c r="E6" i="8"/>
  <c r="I6" i="8" s="1"/>
  <c r="E12" i="8"/>
  <c r="E7" i="12"/>
  <c r="I7" i="12" s="1"/>
  <c r="E13" i="12"/>
  <c r="I5" i="8" l="1"/>
  <c r="E18" i="8"/>
  <c r="E5" i="12"/>
  <c r="E14" i="12" s="1"/>
  <c r="E20" i="12" s="1"/>
  <c r="G3" i="12" s="1"/>
  <c r="I12" i="8"/>
  <c r="G5" i="12" l="1"/>
  <c r="G14" i="12" s="1"/>
  <c r="G20" i="12" s="1"/>
  <c r="I5" i="12"/>
  <c r="I14" i="12" s="1"/>
  <c r="I20" i="12" s="1"/>
  <c r="E6" i="15" s="1"/>
  <c r="E10" i="15" s="1"/>
  <c r="E12" i="15" s="1"/>
  <c r="C27" i="15" s="1"/>
</calcChain>
</file>

<file path=xl/sharedStrings.xml><?xml version="1.0" encoding="utf-8"?>
<sst xmlns="http://schemas.openxmlformats.org/spreadsheetml/2006/main" count="301" uniqueCount="215">
  <si>
    <t>Company Master Budget and Financial Statement</t>
  </si>
  <si>
    <t>Company:</t>
  </si>
  <si>
    <t>Albert Enterprises</t>
  </si>
  <si>
    <t>Prepared By:</t>
  </si>
  <si>
    <t>Jeffrey Hill</t>
  </si>
  <si>
    <t>Date Prepared:</t>
  </si>
  <si>
    <t>Budget Period:</t>
  </si>
  <si>
    <t>Q1 2023</t>
  </si>
  <si>
    <t>Table of Contents</t>
  </si>
  <si>
    <t>2022 Balance Sheet</t>
  </si>
  <si>
    <t>Additional Information</t>
  </si>
  <si>
    <t>Sales Budget</t>
  </si>
  <si>
    <t>Expected Cash Collections</t>
  </si>
  <si>
    <t>Production Budget</t>
  </si>
  <si>
    <t>Direct Materials Budget</t>
  </si>
  <si>
    <t>Cash Disbursement for Materials</t>
  </si>
  <si>
    <t>Direct Labor Budget</t>
  </si>
  <si>
    <t>Manufacturing Overhead Budget</t>
  </si>
  <si>
    <t>Selling &amp; Administrative Budget</t>
  </si>
  <si>
    <t>Cash Budget</t>
  </si>
  <si>
    <t>Budgeted Income Statement</t>
  </si>
  <si>
    <t>Budgeted Balance Sheet</t>
  </si>
  <si>
    <t>Balance Sheet</t>
  </si>
  <si>
    <t>Assets</t>
  </si>
  <si>
    <t>Cash</t>
  </si>
  <si>
    <t>Accounts Receivable</t>
  </si>
  <si>
    <t>Raw Materials</t>
  </si>
  <si>
    <t>Finished Goods</t>
  </si>
  <si>
    <t>Total Current Assets</t>
  </si>
  <si>
    <t>Net Property, Plant, and Equipment</t>
  </si>
  <si>
    <t>Total Assets</t>
  </si>
  <si>
    <t>Liabilities &amp; Stockholder Equity</t>
  </si>
  <si>
    <t>Accounts Payable</t>
  </si>
  <si>
    <t>Total Current Liabilities</t>
  </si>
  <si>
    <t>Notes Payable</t>
  </si>
  <si>
    <t>Total Liabilities</t>
  </si>
  <si>
    <t>Common Stock</t>
  </si>
  <si>
    <t>Retained Earnings</t>
  </si>
  <si>
    <t>Total Liabilities &amp; Stockholder Equity</t>
  </si>
  <si>
    <t>Sales:</t>
  </si>
  <si>
    <t>November, 2022 Actual Sales:</t>
  </si>
  <si>
    <t>December, 2022 Actual Sales:</t>
  </si>
  <si>
    <t>Budgeted Sales 2023 (in Units):</t>
  </si>
  <si>
    <t>January</t>
  </si>
  <si>
    <t>February</t>
  </si>
  <si>
    <t>March</t>
  </si>
  <si>
    <t>April</t>
  </si>
  <si>
    <t>May</t>
  </si>
  <si>
    <t>Budgeted Selling Price (per unit)</t>
  </si>
  <si>
    <t>Collectable Percentage in Sale Month</t>
  </si>
  <si>
    <t>Collectable 1 Month (NET30)</t>
  </si>
  <si>
    <t>Collectable 2 Months (NET60)</t>
  </si>
  <si>
    <t>Inventory</t>
  </si>
  <si>
    <t>Finished Goods Inventory</t>
  </si>
  <si>
    <t>Production</t>
  </si>
  <si>
    <t>Material Requirements (in kg per unit)</t>
  </si>
  <si>
    <t>Raw Material Inventory of Next Month Need</t>
  </si>
  <si>
    <t>Raw Material Price (per kg)</t>
  </si>
  <si>
    <t>Material Purchase in Production Month</t>
  </si>
  <si>
    <t>Material Purchase Following Month</t>
  </si>
  <si>
    <t>Direct Unit Labor (hours)</t>
  </si>
  <si>
    <t>Direct Labor Rate (Wage per hour)</t>
  </si>
  <si>
    <t>Manufacturing</t>
  </si>
  <si>
    <t>Variable Overhead (per direct labor hour)</t>
  </si>
  <si>
    <t>Fixed Manufacturing Overhead (OH)</t>
  </si>
  <si>
    <t>Fixed Monthly OH Depreciation</t>
  </si>
  <si>
    <t>Selling Expenses</t>
  </si>
  <si>
    <t>Variable Selling Expense (per unit sold)</t>
  </si>
  <si>
    <t>Fixed Selling &amp; Administrative (S&amp;A) Expense</t>
  </si>
  <si>
    <t>S&amp;A Monthly Depriciation</t>
  </si>
  <si>
    <t>Disbursements</t>
  </si>
  <si>
    <t>Equipment Purchase, January</t>
  </si>
  <si>
    <t>Dividends, March</t>
  </si>
  <si>
    <t>Balance Maintenance Requirement</t>
  </si>
  <si>
    <t>Line of Credit:</t>
  </si>
  <si>
    <t>Annual Interest Rate</t>
  </si>
  <si>
    <t>Borrowed Incremental Amount</t>
  </si>
  <si>
    <t>Repayment Incremental Amount</t>
  </si>
  <si>
    <t>Borrowed at beginning of month needed</t>
  </si>
  <si>
    <t>Repayment at end of month when both principal and interest can be paid</t>
  </si>
  <si>
    <t>Quarter (Q1)</t>
  </si>
  <si>
    <t>Budgeted Sales in Units</t>
  </si>
  <si>
    <t>Selling Price per Unit</t>
  </si>
  <si>
    <t>Total Budget Sales</t>
  </si>
  <si>
    <t>Schedule of Expected Cash Collections</t>
  </si>
  <si>
    <t>Accounts Receivable 12/31</t>
  </si>
  <si>
    <t>January Sales:</t>
  </si>
  <si>
    <t>Monthly 30% of $1,800,000</t>
  </si>
  <si>
    <t>50% of  $1,800,000</t>
  </si>
  <si>
    <t>20% of  $1,800,000</t>
  </si>
  <si>
    <t>February Sales:</t>
  </si>
  <si>
    <t xml:space="preserve">Monthly 30% of  $2,400,000 </t>
  </si>
  <si>
    <t xml:space="preserve">50% of  $2,400,000 </t>
  </si>
  <si>
    <t>March Sales:</t>
  </si>
  <si>
    <t>Monthly 30% of  $3,000,000</t>
  </si>
  <si>
    <t>Total</t>
  </si>
  <si>
    <t>Accounts Receivable Next Quarter</t>
  </si>
  <si>
    <t>Accounts Receivable 3/31</t>
  </si>
  <si>
    <t>20% of $2,400,000</t>
  </si>
  <si>
    <t>50% of $3,000,000</t>
  </si>
  <si>
    <t>20% of $3,000,000</t>
  </si>
  <si>
    <t>Total Accounts Receivable</t>
  </si>
  <si>
    <t>Previous Quarter Supporting Calculations</t>
  </si>
  <si>
    <t>November Sales:</t>
  </si>
  <si>
    <t>20% of $1,500,000</t>
  </si>
  <si>
    <t>December Sales</t>
  </si>
  <si>
    <t>50% of $2,100,000</t>
  </si>
  <si>
    <t>20% of $2,100,000</t>
  </si>
  <si>
    <t>Budgeted Sales</t>
  </si>
  <si>
    <t>Add: Desired Inventory</t>
  </si>
  <si>
    <t>Total Needs</t>
  </si>
  <si>
    <t>Less beginning Inventory</t>
  </si>
  <si>
    <t>Required Production</t>
  </si>
  <si>
    <t>Following Month Calculations (April)</t>
  </si>
  <si>
    <t>Less  Beginning Inventory</t>
  </si>
  <si>
    <t>Beginning Calculations (December)</t>
  </si>
  <si>
    <t>Desired Finished Goods Inventory</t>
  </si>
  <si>
    <t>Finished Goods Inventory Total</t>
  </si>
  <si>
    <t>Production (units)</t>
  </si>
  <si>
    <t>Material per units (kg)</t>
  </si>
  <si>
    <t>Production needs (kg)</t>
  </si>
  <si>
    <t>Add: Desired Ending Inventory (kg)</t>
  </si>
  <si>
    <t>Total Need (kg)</t>
  </si>
  <si>
    <t>Less: Beginning Inventory (kg)</t>
  </si>
  <si>
    <t>Materials to be purchased</t>
  </si>
  <si>
    <t>Raw Material Price</t>
  </si>
  <si>
    <t>Purchase Cost</t>
  </si>
  <si>
    <t>April Materials</t>
  </si>
  <si>
    <t>April Production Needs</t>
  </si>
  <si>
    <t>Beginning Inventory (in kg)</t>
  </si>
  <si>
    <t>Accounts Payable 12/31</t>
  </si>
  <si>
    <t>January Purchases:</t>
  </si>
  <si>
    <t>30% of $864,000</t>
  </si>
  <si>
    <t>70% of $864,000</t>
  </si>
  <si>
    <t>Feburary Purchases:</t>
  </si>
  <si>
    <t xml:space="preserve">30% of $1,075,200 </t>
  </si>
  <si>
    <t xml:space="preserve">70% of $1,075,200 </t>
  </si>
  <si>
    <t>March Purchases:</t>
  </si>
  <si>
    <t xml:space="preserve">30% of  $1,118,400 </t>
  </si>
  <si>
    <t>Total Cash Disbursements</t>
  </si>
  <si>
    <t>Accounts Payable 3/31</t>
  </si>
  <si>
    <t xml:space="preserve">70% of $1,118,400 </t>
  </si>
  <si>
    <t>From Budget Sheet</t>
  </si>
  <si>
    <t>From Disbursements</t>
  </si>
  <si>
    <t>Direct Materials Budget Total</t>
  </si>
  <si>
    <t>Units of Production</t>
  </si>
  <si>
    <t>Direct labor time per unit</t>
  </si>
  <si>
    <t>Labor hours required</t>
  </si>
  <si>
    <t>Hourly wage rate</t>
  </si>
  <si>
    <t>Total Direct Labor Costs</t>
  </si>
  <si>
    <t>Budgeted direct labor hours</t>
  </si>
  <si>
    <t>Vairable mfg. OH rate</t>
  </si>
  <si>
    <t>Variable mfg. OH costs</t>
  </si>
  <si>
    <t>Fixed mfg. OH costs</t>
  </si>
  <si>
    <t>Total mfg. OH costs</t>
  </si>
  <si>
    <t>Less noncash costs</t>
  </si>
  <si>
    <t xml:space="preserve">Cash disbursement for mfg. OH </t>
  </si>
  <si>
    <t>Total mfg. OH rate</t>
  </si>
  <si>
    <t>Selling and Administrative Budget</t>
  </si>
  <si>
    <t>Variable S&amp;A Rate</t>
  </si>
  <si>
    <t>Variable Expenses</t>
  </si>
  <si>
    <t>Fixed S&amp;A Expenses</t>
  </si>
  <si>
    <t>Total S&amp;A Expenses</t>
  </si>
  <si>
    <t>Less: Noncash Expenses</t>
  </si>
  <si>
    <t>Cash S&amp;A Expenses</t>
  </si>
  <si>
    <t>Ending Finished Goods Inventory Budget</t>
  </si>
  <si>
    <t>Production Costs per Unit</t>
  </si>
  <si>
    <t>Quantity</t>
  </si>
  <si>
    <t>Cost</t>
  </si>
  <si>
    <t>Direct Materials</t>
  </si>
  <si>
    <t>kgs.</t>
  </si>
  <si>
    <t>Direct Labor</t>
  </si>
  <si>
    <t>hrs.</t>
  </si>
  <si>
    <t>Manufacturing Overhead</t>
  </si>
  <si>
    <t>Budgeted Finished Good Inventory</t>
  </si>
  <si>
    <t>Ending Inventory Units</t>
  </si>
  <si>
    <t>Unit Production Costs</t>
  </si>
  <si>
    <t>Ending Finished Goods Inventory</t>
  </si>
  <si>
    <t>Beginning Cash Balance</t>
  </si>
  <si>
    <t>Add: Cash Collections</t>
  </si>
  <si>
    <t>Total: Cash Available</t>
  </si>
  <si>
    <t>Less: Cash Disbursements</t>
  </si>
  <si>
    <t>Materials</t>
  </si>
  <si>
    <t>Selling and Administrative</t>
  </si>
  <si>
    <t>Equipment and Purchase</t>
  </si>
  <si>
    <t>Dividend</t>
  </si>
  <si>
    <t>Total Disbursements</t>
  </si>
  <si>
    <t>Excess (Dificiency)</t>
  </si>
  <si>
    <t>Financing:</t>
  </si>
  <si>
    <t>Borrowing</t>
  </si>
  <si>
    <t>Repayment</t>
  </si>
  <si>
    <t>Interest</t>
  </si>
  <si>
    <t>Total Financing</t>
  </si>
  <si>
    <t>Ending Balance</t>
  </si>
  <si>
    <t>For the 3 months ending</t>
  </si>
  <si>
    <t>Sales (120,000 units @ $60)</t>
  </si>
  <si>
    <t>Less: Cost of goods sold (120,000 units @ $44.76)</t>
  </si>
  <si>
    <t>Gross Margin</t>
  </si>
  <si>
    <t>Less: Selling and Administrative (SG&amp;A) Expenses</t>
  </si>
  <si>
    <t>Operating Income</t>
  </si>
  <si>
    <t>Interest Expense</t>
  </si>
  <si>
    <t>Net Income</t>
  </si>
  <si>
    <t>Supplemental Calculations:</t>
  </si>
  <si>
    <t>Cost of Beg. Finished Goods</t>
  </si>
  <si>
    <t>From BS</t>
  </si>
  <si>
    <t>Add: Cost of units produced</t>
  </si>
  <si>
    <t>Production x FG Rate</t>
  </si>
  <si>
    <t>Cost of Goods Available for Sale</t>
  </si>
  <si>
    <t>Less: Cost of Ending FG Inventory</t>
  </si>
  <si>
    <t xml:space="preserve">Ending FG </t>
  </si>
  <si>
    <t>COGS</t>
  </si>
  <si>
    <t>Raw Materials inventory</t>
  </si>
  <si>
    <t>Finished Goods inventory</t>
  </si>
  <si>
    <t>Direct Materials Cost</t>
  </si>
  <si>
    <t>Balance Discrepancy Identified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</si>
</sst>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[$-F800]dddd\,\ mmmm\ dd\,\ yyyy"/>
    <numFmt numFmtId="165" formatCode="_(&quot;$&quot;* #,##0_);_(&quot;$&quot;* \(#,##0\);_(&quot;$&quot;* &quot;-&quot;??_);_(@_)"/>
    <numFmt numFmtId="166" formatCode="_(* #,##0_);_(* \(#,##0\);_(* &quot;-&quot;??_);_(@_)"/>
    <numFmt numFmtId="167" formatCode="_([$$-409]* #,##0_);_([$$-409]* \(#,##0\);_([$$-409]* &quot;-&quot;??_);_(@_)"/>
    <numFmt numFmtId="168" formatCode="_([$$-409]* #,##0.00_);_([$$-409]* \(#,##0.00\);_([$$-409]* &quot;-&quot;??_);_(@_)"/>
    <numFmt numFmtId="169" formatCode="&quot;$&quot;#,##0.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8"/>
      <color theme="3"/>
      <name val="Aptos Display"/>
      <scheme val="major"/>
    </font>
    <font>
      <b/>
      <sz val="11"/>
      <color theme="3"/>
      <name val="Aptos Narrow"/>
      <scheme val="minor"/>
    </font>
    <font>
      <sz val="11"/>
      <color theme="0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3"/>
      <color theme="3"/>
      <name val="Aptos Narrow"/>
      <scheme val="minor"/>
    </font>
    <font>
      <b/>
      <sz val="12"/>
      <color theme="3"/>
      <name val="Aptos Narrow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0"/>
      <name val="Aptos Narrow"/>
      <scheme val="minor"/>
    </font>
    <font>
      <sz val="12"/>
      <color theme="1"/>
      <name val="Calibri"/>
    </font>
    <font>
      <b/>
      <sz val="12"/>
      <color theme="1"/>
      <name val="Calibri"/>
    </font>
    <font>
      <b/>
      <i/>
      <sz val="12"/>
      <color theme="1"/>
      <name val="Calibri"/>
    </font>
    <font>
      <u val="double"/>
      <sz val="12"/>
      <color theme="1"/>
      <name val="Calibri"/>
    </font>
    <font>
      <sz val="12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ck">
        <color theme="4" tint="0.499984740745262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0" borderId="0" applyNumberFormat="0" applyFill="0" applyBorder="0" applyAlignment="0" applyProtection="0"/>
    <xf numFmtId="0" fontId="9" fillId="0" borderId="24" applyNumberFormat="0" applyFill="0" applyAlignment="0" applyProtection="0"/>
  </cellStyleXfs>
  <cellXfs count="216">
    <xf numFmtId="0" fontId="0" fillId="0" borderId="0" xfId="0"/>
    <xf numFmtId="0" fontId="6" fillId="0" borderId="0" xfId="0" applyFont="1" applyAlignment="1">
      <alignment horizontal="left"/>
    </xf>
    <xf numFmtId="165" fontId="6" fillId="0" borderId="0" xfId="0" applyNumberFormat="1" applyFont="1"/>
    <xf numFmtId="165" fontId="6" fillId="0" borderId="0" xfId="0" applyNumberFormat="1" applyFont="1" applyAlignment="1">
      <alignment horizontal="right"/>
    </xf>
    <xf numFmtId="3" fontId="0" fillId="0" borderId="20" xfId="0" applyNumberFormat="1" applyBorder="1"/>
    <xf numFmtId="3" fontId="0" fillId="0" borderId="22" xfId="0" applyNumberFormat="1" applyBorder="1"/>
    <xf numFmtId="0" fontId="0" fillId="0" borderId="3" xfId="0" applyBorder="1"/>
    <xf numFmtId="0" fontId="0" fillId="0" borderId="4" xfId="0" applyBorder="1"/>
    <xf numFmtId="9" fontId="0" fillId="0" borderId="20" xfId="0" applyNumberFormat="1" applyBorder="1"/>
    <xf numFmtId="9" fontId="0" fillId="0" borderId="22" xfId="0" applyNumberFormat="1" applyBorder="1"/>
    <xf numFmtId="6" fontId="0" fillId="0" borderId="20" xfId="0" applyNumberFormat="1" applyBorder="1"/>
    <xf numFmtId="0" fontId="6" fillId="0" borderId="0" xfId="0" applyFont="1"/>
    <xf numFmtId="0" fontId="0" fillId="0" borderId="0" xfId="0" applyAlignment="1">
      <alignment horizontal="right"/>
    </xf>
    <xf numFmtId="165" fontId="7" fillId="0" borderId="0" xfId="0" applyNumberFormat="1" applyFont="1" applyAlignment="1">
      <alignment horizontal="left"/>
    </xf>
    <xf numFmtId="44" fontId="7" fillId="0" borderId="0" xfId="0" applyNumberFormat="1" applyFont="1" applyAlignment="1">
      <alignment horizontal="left"/>
    </xf>
    <xf numFmtId="166" fontId="0" fillId="0" borderId="0" xfId="0" applyNumberFormat="1" applyAlignment="1">
      <alignment horizontal="right"/>
    </xf>
    <xf numFmtId="165" fontId="8" fillId="0" borderId="20" xfId="0" applyNumberFormat="1" applyFont="1" applyBorder="1" applyAlignment="1">
      <alignment horizontal="right"/>
    </xf>
    <xf numFmtId="165" fontId="8" fillId="0" borderId="21" xfId="0" applyNumberFormat="1" applyFont="1" applyBorder="1" applyAlignment="1">
      <alignment horizontal="right"/>
    </xf>
    <xf numFmtId="165" fontId="0" fillId="0" borderId="0" xfId="0" applyNumberFormat="1"/>
    <xf numFmtId="0" fontId="9" fillId="0" borderId="24" xfId="6" applyFill="1" applyAlignment="1"/>
    <xf numFmtId="166" fontId="9" fillId="0" borderId="24" xfId="6" applyNumberFormat="1" applyFill="1" applyAlignment="1"/>
    <xf numFmtId="0" fontId="10" fillId="5" borderId="0" xfId="2" applyFont="1" applyFill="1"/>
    <xf numFmtId="0" fontId="11" fillId="5" borderId="0" xfId="0" applyFont="1" applyFill="1"/>
    <xf numFmtId="0" fontId="11" fillId="5" borderId="6" xfId="0" applyFont="1" applyFill="1" applyBorder="1"/>
    <xf numFmtId="0" fontId="11" fillId="5" borderId="7" xfId="0" applyFont="1" applyFill="1" applyBorder="1"/>
    <xf numFmtId="14" fontId="15" fillId="3" borderId="13" xfId="4" applyNumberFormat="1" applyFont="1" applyBorder="1"/>
    <xf numFmtId="165" fontId="11" fillId="0" borderId="13" xfId="0" applyNumberFormat="1" applyFont="1" applyBorder="1" applyAlignment="1">
      <alignment horizontal="right"/>
    </xf>
    <xf numFmtId="165" fontId="11" fillId="0" borderId="15" xfId="0" applyNumberFormat="1" applyFont="1" applyBorder="1" applyAlignment="1">
      <alignment horizontal="right"/>
    </xf>
    <xf numFmtId="165" fontId="14" fillId="0" borderId="16" xfId="0" applyNumberFormat="1" applyFont="1" applyBorder="1" applyAlignment="1">
      <alignment horizontal="right"/>
    </xf>
    <xf numFmtId="165" fontId="11" fillId="0" borderId="16" xfId="0" applyNumberFormat="1" applyFont="1" applyBorder="1" applyAlignment="1">
      <alignment horizontal="right"/>
    </xf>
    <xf numFmtId="165" fontId="16" fillId="0" borderId="15" xfId="0" applyNumberFormat="1" applyFont="1" applyBorder="1" applyAlignment="1">
      <alignment horizontal="right"/>
    </xf>
    <xf numFmtId="165" fontId="17" fillId="3" borderId="13" xfId="4" applyNumberFormat="1" applyFont="1" applyBorder="1" applyAlignment="1">
      <alignment horizontal="right"/>
    </xf>
    <xf numFmtId="165" fontId="14" fillId="0" borderId="13" xfId="0" applyNumberFormat="1" applyFont="1" applyBorder="1" applyAlignment="1">
      <alignment horizontal="right"/>
    </xf>
    <xf numFmtId="165" fontId="16" fillId="0" borderId="13" xfId="0" applyNumberFormat="1" applyFont="1" applyBorder="1" applyAlignment="1">
      <alignment horizontal="right"/>
    </xf>
    <xf numFmtId="165" fontId="16" fillId="0" borderId="2" xfId="0" applyNumberFormat="1" applyFont="1" applyBorder="1" applyAlignment="1">
      <alignment horizontal="right"/>
    </xf>
    <xf numFmtId="0" fontId="11" fillId="0" borderId="20" xfId="0" applyFont="1" applyBorder="1"/>
    <xf numFmtId="9" fontId="11" fillId="0" borderId="22" xfId="0" applyNumberFormat="1" applyFont="1" applyBorder="1"/>
    <xf numFmtId="6" fontId="11" fillId="0" borderId="22" xfId="0" applyNumberFormat="1" applyFont="1" applyBorder="1"/>
    <xf numFmtId="9" fontId="11" fillId="0" borderId="20" xfId="0" applyNumberFormat="1" applyFont="1" applyBorder="1"/>
    <xf numFmtId="6" fontId="11" fillId="0" borderId="20" xfId="0" applyNumberFormat="1" applyFont="1" applyBorder="1"/>
    <xf numFmtId="165" fontId="11" fillId="0" borderId="22" xfId="0" applyNumberFormat="1" applyFont="1" applyBorder="1" applyAlignment="1">
      <alignment horizontal="right"/>
    </xf>
    <xf numFmtId="165" fontId="11" fillId="0" borderId="20" xfId="0" applyNumberFormat="1" applyFont="1" applyBorder="1" applyAlignment="1">
      <alignment horizontal="right"/>
    </xf>
    <xf numFmtId="0" fontId="11" fillId="0" borderId="22" xfId="0" applyFont="1" applyBorder="1"/>
    <xf numFmtId="0" fontId="11" fillId="0" borderId="21" xfId="0" applyFont="1" applyBorder="1"/>
    <xf numFmtId="0" fontId="19" fillId="0" borderId="1" xfId="0" applyFont="1" applyBorder="1" applyAlignment="1">
      <alignment horizontal="center"/>
    </xf>
    <xf numFmtId="0" fontId="19" fillId="0" borderId="0" xfId="0" applyFont="1"/>
    <xf numFmtId="0" fontId="19" fillId="0" borderId="1" xfId="0" applyFont="1" applyBorder="1"/>
    <xf numFmtId="3" fontId="19" fillId="0" borderId="0" xfId="0" applyNumberFormat="1" applyFont="1" applyAlignment="1">
      <alignment horizontal="right"/>
    </xf>
    <xf numFmtId="3" fontId="19" fillId="0" borderId="0" xfId="0" applyNumberFormat="1" applyFont="1"/>
    <xf numFmtId="6" fontId="19" fillId="0" borderId="0" xfId="0" applyNumberFormat="1" applyFont="1" applyAlignment="1">
      <alignment horizontal="right"/>
    </xf>
    <xf numFmtId="6" fontId="19" fillId="0" borderId="0" xfId="0" applyNumberFormat="1" applyFont="1"/>
    <xf numFmtId="0" fontId="20" fillId="0" borderId="0" xfId="0" applyFont="1" applyAlignment="1">
      <alignment horizontal="left"/>
    </xf>
    <xf numFmtId="165" fontId="20" fillId="0" borderId="0" xfId="0" applyNumberFormat="1" applyFont="1" applyAlignment="1">
      <alignment horizontal="right"/>
    </xf>
    <xf numFmtId="0" fontId="20" fillId="0" borderId="0" xfId="0" applyFont="1"/>
    <xf numFmtId="165" fontId="21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44" fontId="21" fillId="0" borderId="0" xfId="0" applyNumberFormat="1" applyFont="1" applyAlignment="1">
      <alignment horizontal="right"/>
    </xf>
    <xf numFmtId="0" fontId="19" fillId="0" borderId="0" xfId="0" applyFont="1" applyAlignment="1">
      <alignment horizontal="left" indent="1"/>
    </xf>
    <xf numFmtId="165" fontId="19" fillId="0" borderId="0" xfId="0" applyNumberFormat="1" applyFont="1" applyAlignment="1">
      <alignment horizontal="right"/>
    </xf>
    <xf numFmtId="165" fontId="20" fillId="0" borderId="23" xfId="0" applyNumberFormat="1" applyFont="1" applyBorder="1" applyAlignment="1">
      <alignment horizontal="right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left" indent="2"/>
    </xf>
    <xf numFmtId="165" fontId="19" fillId="0" borderId="23" xfId="0" applyNumberFormat="1" applyFont="1" applyBorder="1" applyAlignment="1">
      <alignment horizontal="right"/>
    </xf>
    <xf numFmtId="165" fontId="21" fillId="0" borderId="23" xfId="0" applyNumberFormat="1" applyFont="1" applyBorder="1" applyAlignment="1">
      <alignment horizontal="right"/>
    </xf>
    <xf numFmtId="44" fontId="21" fillId="0" borderId="23" xfId="0" applyNumberFormat="1" applyFont="1" applyBorder="1" applyAlignment="1">
      <alignment horizontal="right"/>
    </xf>
    <xf numFmtId="166" fontId="19" fillId="0" borderId="0" xfId="0" applyNumberFormat="1" applyFont="1" applyAlignment="1">
      <alignment horizontal="right"/>
    </xf>
    <xf numFmtId="166" fontId="19" fillId="0" borderId="25" xfId="0" applyNumberFormat="1" applyFont="1" applyBorder="1" applyAlignment="1">
      <alignment horizontal="right"/>
    </xf>
    <xf numFmtId="166" fontId="20" fillId="0" borderId="23" xfId="0" applyNumberFormat="1" applyFont="1" applyBorder="1" applyAlignment="1">
      <alignment horizontal="right"/>
    </xf>
    <xf numFmtId="166" fontId="22" fillId="0" borderId="0" xfId="0" applyNumberFormat="1" applyFont="1" applyAlignment="1">
      <alignment horizontal="right"/>
    </xf>
    <xf numFmtId="9" fontId="19" fillId="0" borderId="0" xfId="0" applyNumberFormat="1" applyFont="1"/>
    <xf numFmtId="166" fontId="19" fillId="0" borderId="0" xfId="0" applyNumberFormat="1" applyFont="1"/>
    <xf numFmtId="168" fontId="19" fillId="0" borderId="0" xfId="0" applyNumberFormat="1" applyFont="1"/>
    <xf numFmtId="166" fontId="19" fillId="0" borderId="23" xfId="0" applyNumberFormat="1" applyFont="1" applyBorder="1" applyAlignment="1">
      <alignment horizontal="right"/>
    </xf>
    <xf numFmtId="167" fontId="19" fillId="0" borderId="0" xfId="0" applyNumberFormat="1" applyFont="1"/>
    <xf numFmtId="165" fontId="19" fillId="0" borderId="0" xfId="0" applyNumberFormat="1" applyFont="1"/>
    <xf numFmtId="166" fontId="19" fillId="0" borderId="11" xfId="0" applyNumberFormat="1" applyFont="1" applyBorder="1" applyAlignment="1">
      <alignment horizontal="right"/>
    </xf>
    <xf numFmtId="165" fontId="19" fillId="0" borderId="11" xfId="0" applyNumberFormat="1" applyFont="1" applyBorder="1" applyAlignment="1">
      <alignment horizontal="right"/>
    </xf>
    <xf numFmtId="165" fontId="20" fillId="0" borderId="0" xfId="0" applyNumberFormat="1" applyFont="1"/>
    <xf numFmtId="169" fontId="19" fillId="0" borderId="0" xfId="0" applyNumberFormat="1" applyFont="1"/>
    <xf numFmtId="167" fontId="19" fillId="0" borderId="11" xfId="0" applyNumberFormat="1" applyFont="1" applyBorder="1" applyAlignment="1">
      <alignment horizontal="right"/>
    </xf>
    <xf numFmtId="167" fontId="19" fillId="0" borderId="0" xfId="0" applyNumberFormat="1" applyFont="1" applyAlignment="1">
      <alignment horizontal="right"/>
    </xf>
    <xf numFmtId="167" fontId="20" fillId="0" borderId="23" xfId="0" applyNumberFormat="1" applyFont="1" applyBorder="1" applyAlignment="1">
      <alignment horizontal="right"/>
    </xf>
    <xf numFmtId="0" fontId="20" fillId="0" borderId="0" xfId="0" applyFont="1" applyAlignment="1">
      <alignment horizontal="center"/>
    </xf>
    <xf numFmtId="8" fontId="19" fillId="0" borderId="0" xfId="0" applyNumberFormat="1" applyFont="1" applyAlignment="1">
      <alignment horizontal="right"/>
    </xf>
    <xf numFmtId="168" fontId="19" fillId="0" borderId="0" xfId="0" applyNumberFormat="1" applyFont="1" applyAlignment="1">
      <alignment horizontal="right"/>
    </xf>
    <xf numFmtId="169" fontId="19" fillId="0" borderId="0" xfId="0" applyNumberFormat="1" applyFont="1" applyAlignment="1">
      <alignment horizontal="right"/>
    </xf>
    <xf numFmtId="168" fontId="19" fillId="0" borderId="23" xfId="0" applyNumberFormat="1" applyFont="1" applyBorder="1"/>
    <xf numFmtId="167" fontId="19" fillId="0" borderId="25" xfId="0" applyNumberFormat="1" applyFont="1" applyBorder="1" applyAlignment="1">
      <alignment horizontal="right"/>
    </xf>
    <xf numFmtId="167" fontId="19" fillId="0" borderId="26" xfId="0" applyNumberFormat="1" applyFont="1" applyBorder="1" applyAlignment="1">
      <alignment horizontal="right"/>
    </xf>
    <xf numFmtId="14" fontId="20" fillId="3" borderId="30" xfId="4" applyNumberFormat="1" applyFont="1" applyBorder="1"/>
    <xf numFmtId="165" fontId="19" fillId="0" borderId="15" xfId="0" applyNumberFormat="1" applyFont="1" applyBorder="1" applyAlignment="1">
      <alignment horizontal="right"/>
    </xf>
    <xf numFmtId="165" fontId="19" fillId="0" borderId="13" xfId="0" applyNumberFormat="1" applyFont="1" applyBorder="1" applyAlignment="1">
      <alignment horizontal="right"/>
    </xf>
    <xf numFmtId="165" fontId="20" fillId="0" borderId="2" xfId="0" applyNumberFormat="1" applyFont="1" applyBorder="1" applyAlignment="1">
      <alignment horizontal="right"/>
    </xf>
    <xf numFmtId="0" fontId="23" fillId="0" borderId="0" xfId="0" applyFont="1"/>
    <xf numFmtId="167" fontId="23" fillId="0" borderId="0" xfId="0" applyNumberFormat="1" applyFont="1"/>
    <xf numFmtId="3" fontId="23" fillId="0" borderId="33" xfId="0" applyNumberFormat="1" applyFont="1" applyBorder="1"/>
    <xf numFmtId="3" fontId="23" fillId="0" borderId="0" xfId="0" applyNumberFormat="1" applyFont="1"/>
    <xf numFmtId="0" fontId="19" fillId="5" borderId="6" xfId="0" applyFont="1" applyFill="1" applyBorder="1"/>
    <xf numFmtId="0" fontId="19" fillId="5" borderId="0" xfId="0" applyFont="1" applyFill="1"/>
    <xf numFmtId="0" fontId="19" fillId="5" borderId="7" xfId="0" applyFont="1" applyFill="1" applyBorder="1"/>
    <xf numFmtId="14" fontId="20" fillId="3" borderId="13" xfId="4" applyNumberFormat="1" applyFont="1" applyBorder="1"/>
    <xf numFmtId="165" fontId="20" fillId="0" borderId="13" xfId="0" applyNumberFormat="1" applyFont="1" applyBorder="1" applyAlignment="1">
      <alignment horizontal="right"/>
    </xf>
    <xf numFmtId="165" fontId="21" fillId="0" borderId="31" xfId="0" applyNumberFormat="1" applyFont="1" applyBorder="1" applyAlignment="1">
      <alignment horizontal="right"/>
    </xf>
    <xf numFmtId="165" fontId="19" fillId="3" borderId="15" xfId="4" applyNumberFormat="1" applyFont="1" applyBorder="1" applyAlignment="1">
      <alignment horizontal="right"/>
    </xf>
    <xf numFmtId="165" fontId="21" fillId="0" borderId="13" xfId="0" applyNumberFormat="1" applyFont="1" applyBorder="1" applyAlignment="1">
      <alignment horizontal="right"/>
    </xf>
    <xf numFmtId="165" fontId="21" fillId="0" borderId="2" xfId="0" applyNumberFormat="1" applyFont="1" applyBorder="1" applyAlignment="1">
      <alignment horizontal="right"/>
    </xf>
    <xf numFmtId="8" fontId="19" fillId="0" borderId="0" xfId="0" applyNumberFormat="1" applyFont="1"/>
    <xf numFmtId="0" fontId="12" fillId="0" borderId="0" xfId="5" applyFont="1" applyAlignment="1">
      <alignment horizontal="left"/>
    </xf>
    <xf numFmtId="0" fontId="13" fillId="0" borderId="0" xfId="5" applyFont="1" applyAlignment="1">
      <alignment horizontal="left"/>
    </xf>
    <xf numFmtId="0" fontId="2" fillId="3" borderId="0" xfId="1" applyFill="1" applyAlignment="1">
      <alignment horizontal="left" vertical="top" wrapText="1"/>
    </xf>
    <xf numFmtId="0" fontId="11" fillId="5" borderId="0" xfId="0" applyFont="1" applyFill="1" applyAlignment="1">
      <alignment horizontal="center"/>
    </xf>
    <xf numFmtId="14" fontId="11" fillId="5" borderId="0" xfId="0" applyNumberFormat="1" applyFont="1" applyFill="1" applyAlignment="1">
      <alignment horizontal="center"/>
    </xf>
    <xf numFmtId="0" fontId="10" fillId="5" borderId="0" xfId="2" applyFont="1" applyFill="1" applyAlignment="1">
      <alignment horizontal="center"/>
    </xf>
    <xf numFmtId="0" fontId="14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6" fillId="0" borderId="6" xfId="0" applyFont="1" applyBorder="1" applyAlignment="1">
      <alignment horizontal="left" indent="1"/>
    </xf>
    <xf numFmtId="0" fontId="16" fillId="0" borderId="0" xfId="0" applyFont="1" applyAlignment="1">
      <alignment horizontal="left" indent="1"/>
    </xf>
    <xf numFmtId="0" fontId="14" fillId="5" borderId="3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164" fontId="11" fillId="5" borderId="6" xfId="0" applyNumberFormat="1" applyFont="1" applyFill="1" applyBorder="1" applyAlignment="1">
      <alignment horizontal="center"/>
    </xf>
    <xf numFmtId="164" fontId="11" fillId="5" borderId="0" xfId="0" applyNumberFormat="1" applyFont="1" applyFill="1" applyAlignment="1">
      <alignment horizontal="center"/>
    </xf>
    <xf numFmtId="164" fontId="11" fillId="5" borderId="7" xfId="0" applyNumberFormat="1" applyFont="1" applyFill="1" applyBorder="1" applyAlignment="1">
      <alignment horizontal="center"/>
    </xf>
    <xf numFmtId="0" fontId="15" fillId="3" borderId="12" xfId="4" applyFont="1" applyBorder="1" applyAlignment="1">
      <alignment horizontal="left"/>
    </xf>
    <xf numFmtId="0" fontId="15" fillId="3" borderId="10" xfId="4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4" fillId="0" borderId="6" xfId="0" applyFont="1" applyBorder="1" applyAlignment="1">
      <alignment horizontal="left" indent="1"/>
    </xf>
    <xf numFmtId="0" fontId="14" fillId="0" borderId="0" xfId="0" applyFont="1" applyAlignment="1">
      <alignment horizontal="left" indent="1"/>
    </xf>
    <xf numFmtId="0" fontId="16" fillId="0" borderId="8" xfId="0" applyFont="1" applyBorder="1" applyAlignment="1">
      <alignment horizontal="left" indent="1"/>
    </xf>
    <xf numFmtId="0" fontId="16" fillId="0" borderId="9" xfId="0" applyFont="1" applyBorder="1" applyAlignment="1">
      <alignment horizontal="left" indent="1"/>
    </xf>
    <xf numFmtId="0" fontId="15" fillId="3" borderId="14" xfId="4" applyFont="1" applyBorder="1" applyAlignment="1">
      <alignment horizontal="left"/>
    </xf>
    <xf numFmtId="0" fontId="15" fillId="3" borderId="11" xfId="4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17" xfId="1" applyBorder="1" applyAlignment="1">
      <alignment horizontal="center"/>
    </xf>
    <xf numFmtId="0" fontId="2" fillId="0" borderId="18" xfId="1" applyBorder="1" applyAlignment="1">
      <alignment horizontal="center"/>
    </xf>
    <xf numFmtId="0" fontId="2" fillId="0" borderId="19" xfId="1" applyBorder="1" applyAlignment="1">
      <alignment horizontal="center"/>
    </xf>
    <xf numFmtId="0" fontId="4" fillId="2" borderId="6" xfId="3" applyBorder="1" applyAlignment="1">
      <alignment horizontal="left" wrapText="1"/>
    </xf>
    <xf numFmtId="0" fontId="4" fillId="2" borderId="0" xfId="3" applyBorder="1" applyAlignment="1">
      <alignment horizontal="left" wrapText="1"/>
    </xf>
    <xf numFmtId="0" fontId="4" fillId="2" borderId="7" xfId="3" applyBorder="1" applyAlignment="1">
      <alignment horizontal="left" wrapText="1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4" fillId="2" borderId="6" xfId="3" applyBorder="1" applyAlignment="1">
      <alignment horizontal="left"/>
    </xf>
    <xf numFmtId="0" fontId="4" fillId="2" borderId="0" xfId="3" applyBorder="1" applyAlignment="1">
      <alignment horizontal="left"/>
    </xf>
    <xf numFmtId="0" fontId="4" fillId="2" borderId="7" xfId="3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4" fillId="2" borderId="3" xfId="3" applyBorder="1" applyAlignment="1">
      <alignment horizontal="left"/>
    </xf>
    <xf numFmtId="0" fontId="4" fillId="2" borderId="4" xfId="3" applyBorder="1" applyAlignment="1">
      <alignment horizontal="left"/>
    </xf>
    <xf numFmtId="0" fontId="4" fillId="2" borderId="5" xfId="3" applyBorder="1" applyAlignment="1">
      <alignment horizontal="left"/>
    </xf>
    <xf numFmtId="0" fontId="18" fillId="2" borderId="3" xfId="3" applyFont="1" applyBorder="1" applyAlignment="1">
      <alignment horizontal="left"/>
    </xf>
    <xf numFmtId="0" fontId="18" fillId="2" borderId="4" xfId="3" applyFont="1" applyBorder="1" applyAlignment="1">
      <alignment horizontal="left"/>
    </xf>
    <xf numFmtId="0" fontId="18" fillId="2" borderId="5" xfId="3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6" xfId="0" applyFont="1" applyBorder="1" applyAlignment="1">
      <alignment horizontal="left" wrapText="1" indent="1"/>
    </xf>
    <xf numFmtId="0" fontId="11" fillId="0" borderId="0" xfId="0" applyFont="1" applyAlignment="1">
      <alignment horizontal="left" wrapText="1" indent="1"/>
    </xf>
    <xf numFmtId="0" fontId="11" fillId="0" borderId="8" xfId="0" applyFont="1" applyBorder="1" applyAlignment="1">
      <alignment horizontal="left" wrapText="1" indent="1"/>
    </xf>
    <xf numFmtId="0" fontId="11" fillId="0" borderId="9" xfId="0" applyFont="1" applyBorder="1" applyAlignment="1">
      <alignment horizontal="left" wrapText="1" indent="1"/>
    </xf>
    <xf numFmtId="0" fontId="11" fillId="0" borderId="6" xfId="0" applyFont="1" applyBorder="1" applyAlignment="1">
      <alignment horizontal="left" indent="1"/>
    </xf>
    <xf numFmtId="0" fontId="11" fillId="0" borderId="0" xfId="0" applyFont="1" applyAlignment="1">
      <alignment horizontal="left" indent="1"/>
    </xf>
    <xf numFmtId="0" fontId="2" fillId="4" borderId="0" xfId="1" applyFill="1" applyAlignment="1">
      <alignment horizontal="left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left" indent="1"/>
    </xf>
    <xf numFmtId="0" fontId="19" fillId="0" borderId="0" xfId="0" applyFont="1" applyAlignment="1">
      <alignment horizontal="left" indent="2"/>
    </xf>
    <xf numFmtId="0" fontId="9" fillId="0" borderId="24" xfId="6" applyFill="1" applyAlignment="1">
      <alignment horizontal="left"/>
    </xf>
    <xf numFmtId="0" fontId="21" fillId="0" borderId="0" xfId="0" applyFont="1" applyAlignment="1">
      <alignment horizontal="center" indent="2"/>
    </xf>
    <xf numFmtId="0" fontId="21" fillId="0" borderId="0" xfId="0" applyFont="1" applyAlignment="1">
      <alignment horizontal="center"/>
    </xf>
    <xf numFmtId="0" fontId="19" fillId="0" borderId="32" xfId="0" applyFont="1" applyBorder="1" applyAlignment="1">
      <alignment horizontal="left"/>
    </xf>
    <xf numFmtId="0" fontId="19" fillId="0" borderId="6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19" fillId="0" borderId="0" xfId="0" applyFont="1" applyAlignment="1">
      <alignment horizontal="center" indent="1"/>
    </xf>
    <xf numFmtId="0" fontId="2" fillId="6" borderId="0" xfId="1" applyFill="1" applyAlignment="1">
      <alignment horizontal="left"/>
    </xf>
    <xf numFmtId="0" fontId="2" fillId="3" borderId="0" xfId="1" applyFill="1" applyAlignment="1">
      <alignment horizontal="left"/>
    </xf>
    <xf numFmtId="0" fontId="20" fillId="0" borderId="8" xfId="0" applyFont="1" applyBorder="1" applyAlignment="1">
      <alignment horizontal="left"/>
    </xf>
    <xf numFmtId="0" fontId="20" fillId="0" borderId="9" xfId="0" applyFont="1" applyBorder="1" applyAlignment="1">
      <alignment horizontal="left"/>
    </xf>
    <xf numFmtId="0" fontId="20" fillId="5" borderId="3" xfId="0" applyFont="1" applyFill="1" applyBorder="1" applyAlignment="1">
      <alignment horizontal="center"/>
    </xf>
    <xf numFmtId="0" fontId="20" fillId="5" borderId="4" xfId="0" applyFont="1" applyFill="1" applyBorder="1" applyAlignment="1">
      <alignment horizontal="center"/>
    </xf>
    <xf numFmtId="0" fontId="20" fillId="5" borderId="5" xfId="0" applyFont="1" applyFill="1" applyBorder="1" applyAlignment="1">
      <alignment horizontal="center"/>
    </xf>
    <xf numFmtId="0" fontId="19" fillId="5" borderId="6" xfId="0" applyFont="1" applyFill="1" applyBorder="1" applyAlignment="1">
      <alignment horizontal="center"/>
    </xf>
    <xf numFmtId="0" fontId="19" fillId="5" borderId="0" xfId="0" applyFont="1" applyFill="1" applyAlignment="1">
      <alignment horizontal="center"/>
    </xf>
    <xf numFmtId="0" fontId="19" fillId="5" borderId="7" xfId="0" applyFont="1" applyFill="1" applyBorder="1" applyAlignment="1">
      <alignment horizontal="center"/>
    </xf>
    <xf numFmtId="164" fontId="19" fillId="5" borderId="6" xfId="0" applyNumberFormat="1" applyFont="1" applyFill="1" applyBorder="1" applyAlignment="1">
      <alignment horizontal="center"/>
    </xf>
    <xf numFmtId="164" fontId="19" fillId="5" borderId="0" xfId="0" applyNumberFormat="1" applyFont="1" applyFill="1" applyAlignment="1">
      <alignment horizontal="center"/>
    </xf>
    <xf numFmtId="164" fontId="19" fillId="5" borderId="7" xfId="0" applyNumberFormat="1" applyFont="1" applyFill="1" applyBorder="1" applyAlignment="1">
      <alignment horizontal="center"/>
    </xf>
    <xf numFmtId="0" fontId="20" fillId="3" borderId="28" xfId="4" applyFont="1" applyBorder="1" applyAlignment="1">
      <alignment horizontal="left"/>
    </xf>
    <xf numFmtId="0" fontId="20" fillId="3" borderId="29" xfId="4" applyFont="1" applyBorder="1" applyAlignment="1">
      <alignment horizontal="left"/>
    </xf>
    <xf numFmtId="0" fontId="19" fillId="0" borderId="6" xfId="0" applyFont="1" applyBorder="1" applyAlignment="1">
      <alignment horizontal="left" indent="1"/>
    </xf>
    <xf numFmtId="0" fontId="21" fillId="0" borderId="8" xfId="0" applyFont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20" fillId="0" borderId="27" xfId="0" applyFont="1" applyBorder="1" applyAlignment="1">
      <alignment horizontal="left"/>
    </xf>
    <xf numFmtId="0" fontId="19" fillId="0" borderId="14" xfId="0" applyFont="1" applyBorder="1" applyAlignment="1">
      <alignment horizontal="left"/>
    </xf>
    <xf numFmtId="0" fontId="19" fillId="0" borderId="11" xfId="0" applyFont="1" applyBorder="1" applyAlignment="1">
      <alignment horizontal="left"/>
    </xf>
    <xf numFmtId="0" fontId="20" fillId="0" borderId="6" xfId="0" applyFont="1" applyBorder="1" applyAlignment="1">
      <alignment horizontal="left" indent="1"/>
    </xf>
    <xf numFmtId="0" fontId="20" fillId="0" borderId="0" xfId="0" applyFont="1" applyAlignment="1">
      <alignment horizontal="left" indent="1"/>
    </xf>
    <xf numFmtId="0" fontId="21" fillId="0" borderId="6" xfId="0" applyFont="1" applyBorder="1" applyAlignment="1">
      <alignment horizontal="left" indent="1"/>
    </xf>
    <xf numFmtId="0" fontId="21" fillId="0" borderId="0" xfId="0" applyFont="1" applyAlignment="1">
      <alignment horizontal="left" indent="1"/>
    </xf>
    <xf numFmtId="0" fontId="21" fillId="0" borderId="6" xfId="0" applyFont="1" applyBorder="1" applyAlignment="1">
      <alignment horizontal="left"/>
    </xf>
    <xf numFmtId="0" fontId="20" fillId="3" borderId="14" xfId="4" applyFont="1" applyBorder="1" applyAlignment="1">
      <alignment horizontal="left"/>
    </xf>
    <xf numFmtId="0" fontId="20" fillId="3" borderId="11" xfId="4" applyFont="1" applyBorder="1" applyAlignment="1">
      <alignment horizontal="left"/>
    </xf>
    <xf numFmtId="0" fontId="20" fillId="3" borderId="12" xfId="4" applyFont="1" applyBorder="1" applyAlignment="1">
      <alignment horizontal="left"/>
    </xf>
    <xf numFmtId="0" fontId="20" fillId="3" borderId="10" xfId="4" applyFont="1" applyBorder="1" applyAlignment="1">
      <alignment horizontal="left"/>
    </xf>
    <xf numFmtId="0" fontId="19" fillId="0" borderId="14" xfId="0" applyFont="1" applyBorder="1" applyAlignment="1">
      <alignment horizontal="left" indent="1"/>
    </xf>
    <xf numFmtId="0" fontId="19" fillId="0" borderId="11" xfId="0" applyFont="1" applyBorder="1" applyAlignment="1">
      <alignment horizontal="left" indent="1"/>
    </xf>
  </cellXfs>
  <cellStyles count="7">
    <cellStyle name="40% - Accent6" xfId="4" builtinId="51"/>
    <cellStyle name="Accent6" xfId="3" builtinId="49"/>
    <cellStyle name="Heading 2" xfId="6" builtinId="17"/>
    <cellStyle name="Heading 4" xfId="2" builtinId="19"/>
    <cellStyle name="Hyperlink" xfId="5" builtinId="8"/>
    <cellStyle name="Normal" xfId="0" builtinId="0"/>
    <cellStyle name="Title" xfId="1" builtinId="1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4"/>
  <sheetViews>
    <sheetView tabSelected="1" workbookViewId="0">
      <selection sqref="A1:G3"/>
    </sheetView>
  </sheetViews>
  <sheetFormatPr defaultRowHeight="14.4" x14ac:dyDescent="0.3"/>
  <cols>
    <col min="1" max="7" width="15.6640625" customWidth="1"/>
  </cols>
  <sheetData>
    <row r="1" spans="1:7" x14ac:dyDescent="0.3">
      <c r="A1" s="109" t="s">
        <v>0</v>
      </c>
      <c r="B1" s="109"/>
      <c r="C1" s="109"/>
      <c r="D1" s="109"/>
      <c r="E1" s="109"/>
      <c r="F1" s="109"/>
      <c r="G1" s="109"/>
    </row>
    <row r="2" spans="1:7" x14ac:dyDescent="0.3">
      <c r="A2" s="109"/>
      <c r="B2" s="109"/>
      <c r="C2" s="109"/>
      <c r="D2" s="109"/>
      <c r="E2" s="109"/>
      <c r="F2" s="109"/>
      <c r="G2" s="109"/>
    </row>
    <row r="3" spans="1:7" x14ac:dyDescent="0.3">
      <c r="A3" s="109"/>
      <c r="B3" s="109"/>
      <c r="C3" s="109"/>
      <c r="D3" s="109"/>
      <c r="E3" s="109"/>
      <c r="F3" s="109"/>
      <c r="G3" s="109"/>
    </row>
    <row r="4" spans="1:7" x14ac:dyDescent="0.3">
      <c r="A4" s="114"/>
      <c r="B4" s="114"/>
      <c r="C4" s="114"/>
      <c r="D4" s="114"/>
      <c r="E4" s="114"/>
      <c r="F4" s="114"/>
      <c r="G4" s="114"/>
    </row>
    <row r="5" spans="1:7" ht="15.6" x14ac:dyDescent="0.3">
      <c r="A5" s="21" t="s">
        <v>1</v>
      </c>
      <c r="B5" s="112" t="s">
        <v>2</v>
      </c>
      <c r="C5" s="112"/>
      <c r="D5" s="114"/>
      <c r="E5" s="114"/>
      <c r="F5" s="114"/>
      <c r="G5" s="114"/>
    </row>
    <row r="6" spans="1:7" ht="15.6" x14ac:dyDescent="0.3">
      <c r="A6" s="21" t="s">
        <v>3</v>
      </c>
      <c r="B6" s="110" t="s">
        <v>4</v>
      </c>
      <c r="C6" s="110"/>
      <c r="D6" s="114"/>
      <c r="E6" s="114"/>
      <c r="F6" s="114"/>
      <c r="G6" s="114"/>
    </row>
    <row r="7" spans="1:7" ht="15.6" x14ac:dyDescent="0.3">
      <c r="A7" s="21" t="s">
        <v>5</v>
      </c>
      <c r="B7" s="111">
        <v>45439</v>
      </c>
      <c r="C7" s="110"/>
      <c r="D7" s="114"/>
      <c r="E7" s="114"/>
      <c r="F7" s="114"/>
      <c r="G7" s="114"/>
    </row>
    <row r="8" spans="1:7" ht="15.6" x14ac:dyDescent="0.3">
      <c r="A8" s="22"/>
      <c r="B8" s="22"/>
      <c r="C8" s="22"/>
      <c r="D8" s="114"/>
      <c r="E8" s="114"/>
      <c r="F8" s="114"/>
      <c r="G8" s="114"/>
    </row>
    <row r="9" spans="1:7" ht="15.6" x14ac:dyDescent="0.3">
      <c r="A9" s="21" t="s">
        <v>6</v>
      </c>
      <c r="B9" s="112" t="s">
        <v>7</v>
      </c>
      <c r="C9" s="112"/>
      <c r="D9" s="114"/>
      <c r="E9" s="114"/>
      <c r="F9" s="114"/>
      <c r="G9" s="114"/>
    </row>
    <row r="10" spans="1:7" ht="15.6" x14ac:dyDescent="0.3">
      <c r="A10" s="116"/>
      <c r="B10" s="116"/>
      <c r="C10" s="116"/>
      <c r="D10" s="115"/>
      <c r="E10" s="115"/>
      <c r="F10" s="115"/>
      <c r="G10" s="115"/>
    </row>
    <row r="11" spans="1:7" ht="15.6" x14ac:dyDescent="0.3">
      <c r="A11" s="113" t="s">
        <v>8</v>
      </c>
      <c r="B11" s="113"/>
      <c r="C11" s="113"/>
      <c r="D11" s="115"/>
      <c r="E11" s="115"/>
      <c r="F11" s="115"/>
      <c r="G11" s="115"/>
    </row>
    <row r="12" spans="1:7" ht="15.6" x14ac:dyDescent="0.3">
      <c r="A12" s="108" t="s">
        <v>9</v>
      </c>
      <c r="B12" s="108"/>
      <c r="C12" s="108"/>
      <c r="D12" s="115"/>
      <c r="E12" s="115"/>
      <c r="F12" s="115"/>
      <c r="G12" s="115"/>
    </row>
    <row r="13" spans="1:7" ht="15.6" x14ac:dyDescent="0.3">
      <c r="A13" s="107" t="s">
        <v>10</v>
      </c>
      <c r="B13" s="107"/>
      <c r="C13" s="107"/>
      <c r="D13" s="115"/>
      <c r="E13" s="115"/>
      <c r="F13" s="115"/>
      <c r="G13" s="115"/>
    </row>
    <row r="14" spans="1:7" ht="15.6" x14ac:dyDescent="0.3">
      <c r="A14" s="107" t="s">
        <v>11</v>
      </c>
      <c r="B14" s="107"/>
      <c r="C14" s="107"/>
      <c r="D14" s="115"/>
      <c r="E14" s="115"/>
      <c r="F14" s="115"/>
      <c r="G14" s="115"/>
    </row>
    <row r="15" spans="1:7" ht="15.6" x14ac:dyDescent="0.3">
      <c r="A15" s="107" t="s">
        <v>12</v>
      </c>
      <c r="B15" s="107"/>
      <c r="C15" s="107"/>
      <c r="D15" s="115"/>
      <c r="E15" s="115"/>
      <c r="F15" s="115"/>
      <c r="G15" s="115"/>
    </row>
    <row r="16" spans="1:7" ht="15.6" x14ac:dyDescent="0.3">
      <c r="A16" s="107" t="s">
        <v>13</v>
      </c>
      <c r="B16" s="107"/>
      <c r="C16" s="107"/>
      <c r="D16" s="115"/>
      <c r="E16" s="115"/>
      <c r="F16" s="115"/>
      <c r="G16" s="115"/>
    </row>
    <row r="17" spans="1:7" ht="15.6" x14ac:dyDescent="0.3">
      <c r="A17" s="107" t="s">
        <v>14</v>
      </c>
      <c r="B17" s="107"/>
      <c r="C17" s="107"/>
      <c r="D17" s="115"/>
      <c r="E17" s="115"/>
      <c r="F17" s="115"/>
      <c r="G17" s="115"/>
    </row>
    <row r="18" spans="1:7" ht="15.6" x14ac:dyDescent="0.3">
      <c r="A18" s="107" t="s">
        <v>15</v>
      </c>
      <c r="B18" s="107"/>
      <c r="C18" s="107"/>
      <c r="D18" s="115"/>
      <c r="E18" s="115"/>
      <c r="F18" s="115"/>
      <c r="G18" s="115"/>
    </row>
    <row r="19" spans="1:7" ht="15.6" x14ac:dyDescent="0.3">
      <c r="A19" s="107" t="s">
        <v>16</v>
      </c>
      <c r="B19" s="107"/>
      <c r="C19" s="107"/>
      <c r="D19" s="115"/>
      <c r="E19" s="115"/>
      <c r="F19" s="115"/>
      <c r="G19" s="115"/>
    </row>
    <row r="20" spans="1:7" ht="15.6" x14ac:dyDescent="0.3">
      <c r="A20" s="107" t="s">
        <v>17</v>
      </c>
      <c r="B20" s="107"/>
      <c r="C20" s="107"/>
      <c r="D20" s="115"/>
      <c r="E20" s="115"/>
      <c r="F20" s="115"/>
      <c r="G20" s="115"/>
    </row>
    <row r="21" spans="1:7" ht="15.6" x14ac:dyDescent="0.3">
      <c r="A21" s="107" t="s">
        <v>18</v>
      </c>
      <c r="B21" s="107"/>
      <c r="C21" s="107"/>
      <c r="D21" s="115"/>
      <c r="E21" s="115"/>
      <c r="F21" s="115"/>
      <c r="G21" s="115"/>
    </row>
    <row r="22" spans="1:7" ht="15.6" x14ac:dyDescent="0.3">
      <c r="A22" s="108" t="s">
        <v>19</v>
      </c>
      <c r="B22" s="108"/>
      <c r="C22" s="108"/>
      <c r="D22" s="115"/>
      <c r="E22" s="115"/>
      <c r="F22" s="115"/>
      <c r="G22" s="115"/>
    </row>
    <row r="23" spans="1:7" ht="15.6" x14ac:dyDescent="0.3">
      <c r="A23" s="108" t="s">
        <v>20</v>
      </c>
      <c r="B23" s="108"/>
      <c r="C23" s="108"/>
      <c r="D23" s="115"/>
      <c r="E23" s="115"/>
      <c r="F23" s="115"/>
      <c r="G23" s="115"/>
    </row>
    <row r="24" spans="1:7" ht="15.6" x14ac:dyDescent="0.3">
      <c r="A24" s="108" t="s">
        <v>21</v>
      </c>
      <c r="B24" s="108"/>
      <c r="C24" s="108"/>
      <c r="D24" s="115"/>
      <c r="E24" s="115"/>
      <c r="F24" s="115"/>
      <c r="G24" s="115"/>
    </row>
  </sheetData>
  <mergeCells count="23">
    <mergeCell ref="A17:C17"/>
    <mergeCell ref="A12:C12"/>
    <mergeCell ref="A1:G3"/>
    <mergeCell ref="B6:C6"/>
    <mergeCell ref="B7:C7"/>
    <mergeCell ref="B9:C9"/>
    <mergeCell ref="B5:C5"/>
    <mergeCell ref="A11:C11"/>
    <mergeCell ref="D5:G9"/>
    <mergeCell ref="A4:G4"/>
    <mergeCell ref="D10:G24"/>
    <mergeCell ref="A10:C10"/>
    <mergeCell ref="A13:C13"/>
    <mergeCell ref="A14:C14"/>
    <mergeCell ref="A15:C15"/>
    <mergeCell ref="A16:C16"/>
    <mergeCell ref="A18:C18"/>
    <mergeCell ref="A24:C24"/>
    <mergeCell ref="A19:C19"/>
    <mergeCell ref="A20:C20"/>
    <mergeCell ref="A21:C21"/>
    <mergeCell ref="A22:C22"/>
    <mergeCell ref="A23:C23"/>
  </mergeCells>
  <hyperlinks>
    <hyperlink ref="A12" location="'2022 Balance Sheet'!A1" display="2022 Balance Sheet" xr:uid="{BC29ED2D-3747-49D3-A31A-E5E327570260}"/>
    <hyperlink ref="A13:B13" location="Additional Information" display="Additional Information" xr:uid="{932FE35B-E711-466C-B2D4-C53835F7F68E}"/>
    <hyperlink ref="A14" location="'Sales Budget'!A1" display="Sales Budget" xr:uid="{7EF9166F-EA7F-4F86-A6DE-F384EB208D04}"/>
    <hyperlink ref="A15" location="'Expected Cash Collections'!A1" display="Expected Cash Collections" xr:uid="{45C832F4-8B34-4059-9583-E7F4D38AA964}"/>
    <hyperlink ref="A16:B16" location="'Production Budget'!A1" display="Production Budget" xr:uid="{6748ADE1-958E-4B50-9B4A-907C84935CE8}"/>
    <hyperlink ref="A17:B17" location="'Direct Mats Budget'!A1" display="Direct Materials Budget" xr:uid="{62D43A3E-635B-4574-9E3C-59695CC99B0A}"/>
    <hyperlink ref="A18:B18" location="'Cash Disbursement Mats'!A1" display="Cash Disbursement for Materials" xr:uid="{3447FE73-66F8-4AC2-AB4F-7649DA3BE4D3}"/>
    <hyperlink ref="A19" location="'Direct Labor Budget'!A1" display="Direct Labor Budget" xr:uid="{E9FF5AAC-C944-426A-A65E-C8BF11FE9C88}"/>
    <hyperlink ref="A20" location="'Mfg OH Budget'!A1" display="Manufacturing Overhead Budget" xr:uid="{EC4D9BFA-9BFE-40BC-900E-EB3E8A984999}"/>
    <hyperlink ref="A21:C21" location="'Selling Admin Budget'!A1" display="Selling &amp; Administrative Budget" xr:uid="{4CAF97A0-C5E1-49F1-AED7-0030D63DD005}"/>
    <hyperlink ref="A22" location="'Cash Budget'!A1" display="Cash Budget" xr:uid="{27AFD2DB-7E29-4330-9B2B-75E09D8E3FA6}"/>
    <hyperlink ref="A23:C23" location="'Budgeted Income Statement'!A1" display="Budgeted Income Statement" xr:uid="{9E364973-2CB3-4980-ADBA-DD3B144B441D}"/>
    <hyperlink ref="A24:C24" location="'Budgeted Balance Sheet'!A1" display="Budgeted Balance Sheet" xr:uid="{199704B1-0316-42C4-B0EB-9CDA84719B6B}"/>
  </hyperlinks>
  <pageMargins left="0.7" right="0.7" top="0.75" bottom="0.75" header="0.3" footer="0.3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E3B7-8C40-49CE-A100-C3860E115E86}">
  <dimension ref="A1:E20"/>
  <sheetViews>
    <sheetView workbookViewId="0">
      <selection sqref="A1:E20"/>
    </sheetView>
  </sheetViews>
  <sheetFormatPr defaultRowHeight="14.4" x14ac:dyDescent="0.3"/>
  <cols>
    <col min="5" max="5" width="23.44140625" bestFit="1" customWidth="1"/>
  </cols>
  <sheetData>
    <row r="1" spans="1:5" ht="15.6" x14ac:dyDescent="0.3">
      <c r="A1" s="119" t="s">
        <v>2</v>
      </c>
      <c r="B1" s="120"/>
      <c r="C1" s="120"/>
      <c r="D1" s="120"/>
      <c r="E1" s="121"/>
    </row>
    <row r="2" spans="1:5" ht="15.6" x14ac:dyDescent="0.3">
      <c r="A2" s="122" t="s">
        <v>22</v>
      </c>
      <c r="B2" s="110"/>
      <c r="C2" s="110"/>
      <c r="D2" s="110"/>
      <c r="E2" s="123"/>
    </row>
    <row r="3" spans="1:5" ht="15.6" x14ac:dyDescent="0.3">
      <c r="A3" s="124">
        <v>44926</v>
      </c>
      <c r="B3" s="125"/>
      <c r="C3" s="125"/>
      <c r="D3" s="125"/>
      <c r="E3" s="126"/>
    </row>
    <row r="4" spans="1:5" ht="15.6" x14ac:dyDescent="0.3">
      <c r="A4" s="23"/>
      <c r="B4" s="22"/>
      <c r="C4" s="22"/>
      <c r="D4" s="22"/>
      <c r="E4" s="24"/>
    </row>
    <row r="5" spans="1:5" ht="15.6" x14ac:dyDescent="0.3">
      <c r="A5" s="127" t="s">
        <v>23</v>
      </c>
      <c r="B5" s="128"/>
      <c r="C5" s="128"/>
      <c r="D5" s="128"/>
      <c r="E5" s="25">
        <f>A3</f>
        <v>44926</v>
      </c>
    </row>
    <row r="6" spans="1:5" ht="15.6" x14ac:dyDescent="0.3">
      <c r="A6" s="129" t="s">
        <v>24</v>
      </c>
      <c r="B6" s="130"/>
      <c r="C6" s="130"/>
      <c r="D6" s="130"/>
      <c r="E6" s="26">
        <v>110000</v>
      </c>
    </row>
    <row r="7" spans="1:5" ht="15.6" x14ac:dyDescent="0.3">
      <c r="A7" s="131" t="s">
        <v>25</v>
      </c>
      <c r="B7" s="132"/>
      <c r="C7" s="132"/>
      <c r="D7" s="132"/>
      <c r="E7" s="27">
        <v>1770000</v>
      </c>
    </row>
    <row r="8" spans="1:5" ht="15.6" x14ac:dyDescent="0.3">
      <c r="A8" s="131" t="s">
        <v>26</v>
      </c>
      <c r="B8" s="132"/>
      <c r="C8" s="132"/>
      <c r="D8" s="132"/>
      <c r="E8" s="27">
        <v>163200</v>
      </c>
    </row>
    <row r="9" spans="1:5" ht="15.6" x14ac:dyDescent="0.3">
      <c r="A9" s="131" t="s">
        <v>27</v>
      </c>
      <c r="B9" s="132"/>
      <c r="C9" s="132"/>
      <c r="D9" s="132"/>
      <c r="E9" s="27">
        <v>540000</v>
      </c>
    </row>
    <row r="10" spans="1:5" ht="15.6" x14ac:dyDescent="0.3">
      <c r="A10" s="133" t="s">
        <v>28</v>
      </c>
      <c r="B10" s="134"/>
      <c r="C10" s="134"/>
      <c r="D10" s="134"/>
      <c r="E10" s="28">
        <f>SUM(E6:E9)</f>
        <v>2583200</v>
      </c>
    </row>
    <row r="11" spans="1:5" ht="15.6" x14ac:dyDescent="0.3">
      <c r="A11" s="131" t="s">
        <v>29</v>
      </c>
      <c r="B11" s="132"/>
      <c r="C11" s="132"/>
      <c r="D11" s="132"/>
      <c r="E11" s="29">
        <v>1200000</v>
      </c>
    </row>
    <row r="12" spans="1:5" ht="15.6" x14ac:dyDescent="0.3">
      <c r="A12" s="117" t="s">
        <v>30</v>
      </c>
      <c r="B12" s="118"/>
      <c r="C12" s="118"/>
      <c r="D12" s="118"/>
      <c r="E12" s="30">
        <f>SUM(E10:E11)</f>
        <v>3783200</v>
      </c>
    </row>
    <row r="13" spans="1:5" ht="15.6" x14ac:dyDescent="0.3">
      <c r="A13" s="137" t="s">
        <v>31</v>
      </c>
      <c r="B13" s="138"/>
      <c r="C13" s="138"/>
      <c r="D13" s="138"/>
      <c r="E13" s="31"/>
    </row>
    <row r="14" spans="1:5" ht="15.6" x14ac:dyDescent="0.3">
      <c r="A14" s="129" t="s">
        <v>32</v>
      </c>
      <c r="B14" s="130"/>
      <c r="C14" s="130"/>
      <c r="D14" s="130"/>
      <c r="E14" s="26">
        <v>571200</v>
      </c>
    </row>
    <row r="15" spans="1:5" ht="15.6" x14ac:dyDescent="0.3">
      <c r="A15" s="133" t="s">
        <v>33</v>
      </c>
      <c r="B15" s="134"/>
      <c r="C15" s="134"/>
      <c r="D15" s="134"/>
      <c r="E15" s="32">
        <f>SUM(E14)</f>
        <v>571200</v>
      </c>
    </row>
    <row r="16" spans="1:5" ht="15.6" x14ac:dyDescent="0.3">
      <c r="A16" s="131" t="s">
        <v>34</v>
      </c>
      <c r="B16" s="132"/>
      <c r="C16" s="132"/>
      <c r="D16" s="132"/>
      <c r="E16" s="27">
        <v>0</v>
      </c>
    </row>
    <row r="17" spans="1:5" ht="15.6" x14ac:dyDescent="0.3">
      <c r="A17" s="117" t="s">
        <v>35</v>
      </c>
      <c r="B17" s="118"/>
      <c r="C17" s="118"/>
      <c r="D17" s="118"/>
      <c r="E17" s="33">
        <f>E15+E16</f>
        <v>571200</v>
      </c>
    </row>
    <row r="18" spans="1:5" ht="15.6" x14ac:dyDescent="0.3">
      <c r="A18" s="131" t="s">
        <v>36</v>
      </c>
      <c r="B18" s="132"/>
      <c r="C18" s="132"/>
      <c r="D18" s="132"/>
      <c r="E18" s="27">
        <v>1500000</v>
      </c>
    </row>
    <row r="19" spans="1:5" ht="15.6" x14ac:dyDescent="0.3">
      <c r="A19" s="131" t="s">
        <v>37</v>
      </c>
      <c r="B19" s="132"/>
      <c r="C19" s="132"/>
      <c r="D19" s="132"/>
      <c r="E19" s="27">
        <v>1712000</v>
      </c>
    </row>
    <row r="20" spans="1:5" ht="15.6" x14ac:dyDescent="0.3">
      <c r="A20" s="135" t="s">
        <v>38</v>
      </c>
      <c r="B20" s="136"/>
      <c r="C20" s="136"/>
      <c r="D20" s="136"/>
      <c r="E20" s="34">
        <f>SUM(E17:E19)</f>
        <v>3783200</v>
      </c>
    </row>
  </sheetData>
  <mergeCells count="19">
    <mergeCell ref="A19:D19"/>
    <mergeCell ref="A20:D20"/>
    <mergeCell ref="A13:D13"/>
    <mergeCell ref="A14:D14"/>
    <mergeCell ref="A15:D15"/>
    <mergeCell ref="A16:D16"/>
    <mergeCell ref="A17:D17"/>
    <mergeCell ref="A18:D18"/>
    <mergeCell ref="A12:D12"/>
    <mergeCell ref="A1:E1"/>
    <mergeCell ref="A2:E2"/>
    <mergeCell ref="A3:E3"/>
    <mergeCell ref="A5:D5"/>
    <mergeCell ref="A6:D6"/>
    <mergeCell ref="A7:D7"/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8659-D8EA-4CC5-938B-E58D074139ED}">
  <dimension ref="A1:E44"/>
  <sheetViews>
    <sheetView topLeftCell="A8" workbookViewId="0">
      <selection activeCell="A17" sqref="A17:E44"/>
    </sheetView>
  </sheetViews>
  <sheetFormatPr defaultRowHeight="14.4" x14ac:dyDescent="0.3"/>
  <cols>
    <col min="4" max="4" width="10.6640625" customWidth="1"/>
    <col min="5" max="5" width="14.5546875" bestFit="1" customWidth="1"/>
  </cols>
  <sheetData>
    <row r="1" spans="1:5" ht="23.4" x14ac:dyDescent="0.45">
      <c r="A1" s="141" t="s">
        <v>10</v>
      </c>
      <c r="B1" s="142"/>
      <c r="C1" s="142"/>
      <c r="D1" s="142"/>
      <c r="E1" s="143"/>
    </row>
    <row r="2" spans="1:5" x14ac:dyDescent="0.3">
      <c r="A2" s="144" t="s">
        <v>39</v>
      </c>
      <c r="B2" s="145"/>
      <c r="C2" s="145"/>
      <c r="D2" s="145"/>
      <c r="E2" s="146"/>
    </row>
    <row r="3" spans="1:5" x14ac:dyDescent="0.3">
      <c r="A3" s="147" t="s">
        <v>40</v>
      </c>
      <c r="B3" s="148"/>
      <c r="C3" s="148"/>
      <c r="D3" s="148"/>
      <c r="E3" s="16">
        <v>1500000</v>
      </c>
    </row>
    <row r="4" spans="1:5" x14ac:dyDescent="0.3">
      <c r="A4" s="149" t="s">
        <v>41</v>
      </c>
      <c r="B4" s="150"/>
      <c r="C4" s="150"/>
      <c r="D4" s="150"/>
      <c r="E4" s="17">
        <v>2100000</v>
      </c>
    </row>
    <row r="5" spans="1:5" x14ac:dyDescent="0.3">
      <c r="A5" s="151" t="s">
        <v>42</v>
      </c>
      <c r="B5" s="152"/>
      <c r="C5" s="152"/>
      <c r="D5" s="152"/>
      <c r="E5" s="153"/>
    </row>
    <row r="6" spans="1:5" x14ac:dyDescent="0.3">
      <c r="A6" s="139" t="s">
        <v>43</v>
      </c>
      <c r="B6" s="140"/>
      <c r="C6" s="140"/>
      <c r="D6" s="140"/>
      <c r="E6" s="4">
        <v>30000</v>
      </c>
    </row>
    <row r="7" spans="1:5" x14ac:dyDescent="0.3">
      <c r="A7" s="154" t="s">
        <v>44</v>
      </c>
      <c r="B7" s="155"/>
      <c r="C7" s="155"/>
      <c r="D7" s="155"/>
      <c r="E7" s="5">
        <v>40000</v>
      </c>
    </row>
    <row r="8" spans="1:5" x14ac:dyDescent="0.3">
      <c r="A8" s="154" t="s">
        <v>45</v>
      </c>
      <c r="B8" s="155"/>
      <c r="C8" s="155"/>
      <c r="D8" s="155"/>
      <c r="E8" s="5">
        <v>50000</v>
      </c>
    </row>
    <row r="9" spans="1:5" x14ac:dyDescent="0.3">
      <c r="A9" s="154" t="s">
        <v>46</v>
      </c>
      <c r="B9" s="155"/>
      <c r="C9" s="155"/>
      <c r="D9" s="155"/>
      <c r="E9" s="5">
        <v>45000</v>
      </c>
    </row>
    <row r="10" spans="1:5" x14ac:dyDescent="0.3">
      <c r="A10" s="154" t="s">
        <v>47</v>
      </c>
      <c r="B10" s="155"/>
      <c r="C10" s="155"/>
      <c r="D10" s="155"/>
      <c r="E10" s="5">
        <v>35000</v>
      </c>
    </row>
    <row r="11" spans="1:5" x14ac:dyDescent="0.3">
      <c r="A11" s="139" t="s">
        <v>48</v>
      </c>
      <c r="B11" s="140"/>
      <c r="C11" s="140"/>
      <c r="D11" s="140"/>
      <c r="E11" s="10">
        <v>60</v>
      </c>
    </row>
    <row r="12" spans="1:5" x14ac:dyDescent="0.3">
      <c r="A12" s="6" t="s">
        <v>49</v>
      </c>
      <c r="B12" s="7"/>
      <c r="C12" s="7"/>
      <c r="D12" s="7"/>
      <c r="E12" s="8">
        <v>0.3</v>
      </c>
    </row>
    <row r="13" spans="1:5" x14ac:dyDescent="0.3">
      <c r="A13" s="154" t="s">
        <v>50</v>
      </c>
      <c r="B13" s="155"/>
      <c r="C13" s="155"/>
      <c r="D13" s="155"/>
      <c r="E13" s="9">
        <v>0.5</v>
      </c>
    </row>
    <row r="14" spans="1:5" x14ac:dyDescent="0.3">
      <c r="A14" s="154" t="s">
        <v>51</v>
      </c>
      <c r="B14" s="155"/>
      <c r="C14" s="155"/>
      <c r="D14" s="155"/>
      <c r="E14" s="9">
        <v>0.2</v>
      </c>
    </row>
    <row r="15" spans="1:5" x14ac:dyDescent="0.3">
      <c r="A15" s="156" t="s">
        <v>52</v>
      </c>
      <c r="B15" s="157"/>
      <c r="C15" s="157"/>
      <c r="D15" s="157"/>
      <c r="E15" s="158"/>
    </row>
    <row r="16" spans="1:5" x14ac:dyDescent="0.3">
      <c r="A16" s="139" t="s">
        <v>53</v>
      </c>
      <c r="B16" s="140"/>
      <c r="C16" s="140"/>
      <c r="D16" s="140"/>
      <c r="E16" s="8">
        <v>0.4</v>
      </c>
    </row>
    <row r="17" spans="1:5" ht="15.6" x14ac:dyDescent="0.3">
      <c r="A17" s="159" t="s">
        <v>54</v>
      </c>
      <c r="B17" s="160"/>
      <c r="C17" s="160"/>
      <c r="D17" s="160"/>
      <c r="E17" s="161"/>
    </row>
    <row r="18" spans="1:5" ht="15.6" x14ac:dyDescent="0.3">
      <c r="A18" s="162" t="s">
        <v>55</v>
      </c>
      <c r="B18" s="163"/>
      <c r="C18" s="163"/>
      <c r="D18" s="163"/>
      <c r="E18" s="35">
        <v>3</v>
      </c>
    </row>
    <row r="19" spans="1:5" ht="15.6" x14ac:dyDescent="0.3">
      <c r="A19" s="131" t="s">
        <v>56</v>
      </c>
      <c r="B19" s="132"/>
      <c r="C19" s="132"/>
      <c r="D19" s="132"/>
      <c r="E19" s="36">
        <v>0.2</v>
      </c>
    </row>
    <row r="20" spans="1:5" ht="15.6" x14ac:dyDescent="0.3">
      <c r="A20" s="131" t="s">
        <v>57</v>
      </c>
      <c r="B20" s="132"/>
      <c r="C20" s="132"/>
      <c r="D20" s="132"/>
      <c r="E20" s="37">
        <v>8</v>
      </c>
    </row>
    <row r="21" spans="1:5" ht="15.6" x14ac:dyDescent="0.3">
      <c r="A21" s="162" t="s">
        <v>58</v>
      </c>
      <c r="B21" s="163"/>
      <c r="C21" s="163"/>
      <c r="D21" s="163"/>
      <c r="E21" s="38">
        <v>0.3</v>
      </c>
    </row>
    <row r="22" spans="1:5" ht="15.6" x14ac:dyDescent="0.3">
      <c r="A22" s="131" t="s">
        <v>59</v>
      </c>
      <c r="B22" s="132"/>
      <c r="C22" s="132"/>
      <c r="D22" s="132"/>
      <c r="E22" s="36">
        <v>0.7</v>
      </c>
    </row>
    <row r="23" spans="1:5" ht="15.6" x14ac:dyDescent="0.3">
      <c r="A23" s="162" t="s">
        <v>60</v>
      </c>
      <c r="B23" s="163"/>
      <c r="C23" s="163"/>
      <c r="D23" s="163"/>
      <c r="E23" s="35">
        <v>2</v>
      </c>
    </row>
    <row r="24" spans="1:5" ht="15.6" x14ac:dyDescent="0.3">
      <c r="A24" s="131" t="s">
        <v>61</v>
      </c>
      <c r="B24" s="132"/>
      <c r="C24" s="132"/>
      <c r="D24" s="132"/>
      <c r="E24" s="37">
        <v>6</v>
      </c>
    </row>
    <row r="25" spans="1:5" ht="15.6" x14ac:dyDescent="0.3">
      <c r="A25" s="159" t="s">
        <v>62</v>
      </c>
      <c r="B25" s="160"/>
      <c r="C25" s="160"/>
      <c r="D25" s="160"/>
      <c r="E25" s="161"/>
    </row>
    <row r="26" spans="1:5" ht="15.6" x14ac:dyDescent="0.3">
      <c r="A26" s="162" t="s">
        <v>63</v>
      </c>
      <c r="B26" s="163"/>
      <c r="C26" s="163"/>
      <c r="D26" s="163"/>
      <c r="E26" s="39">
        <v>2</v>
      </c>
    </row>
    <row r="27" spans="1:5" ht="15.6" x14ac:dyDescent="0.3">
      <c r="A27" s="131" t="s">
        <v>64</v>
      </c>
      <c r="B27" s="132"/>
      <c r="C27" s="132"/>
      <c r="D27" s="132"/>
      <c r="E27" s="40">
        <v>200000</v>
      </c>
    </row>
    <row r="28" spans="1:5" ht="15.6" x14ac:dyDescent="0.3">
      <c r="A28" s="131" t="s">
        <v>65</v>
      </c>
      <c r="B28" s="132"/>
      <c r="C28" s="132"/>
      <c r="D28" s="132"/>
      <c r="E28" s="40">
        <v>25000</v>
      </c>
    </row>
    <row r="29" spans="1:5" ht="15.6" x14ac:dyDescent="0.3">
      <c r="A29" s="159" t="s">
        <v>66</v>
      </c>
      <c r="B29" s="160"/>
      <c r="C29" s="160"/>
      <c r="D29" s="160"/>
      <c r="E29" s="161"/>
    </row>
    <row r="30" spans="1:5" ht="15.6" x14ac:dyDescent="0.3">
      <c r="A30" s="162" t="s">
        <v>67</v>
      </c>
      <c r="B30" s="163"/>
      <c r="C30" s="163"/>
      <c r="D30" s="163"/>
      <c r="E30" s="39">
        <v>2</v>
      </c>
    </row>
    <row r="31" spans="1:5" ht="15.6" x14ac:dyDescent="0.3">
      <c r="A31" s="131" t="s">
        <v>68</v>
      </c>
      <c r="B31" s="132"/>
      <c r="C31" s="132"/>
      <c r="D31" s="132"/>
      <c r="E31" s="40">
        <v>120000</v>
      </c>
    </row>
    <row r="32" spans="1:5" ht="15.6" x14ac:dyDescent="0.3">
      <c r="A32" s="131" t="s">
        <v>69</v>
      </c>
      <c r="B32" s="132"/>
      <c r="C32" s="132"/>
      <c r="D32" s="132"/>
      <c r="E32" s="40">
        <v>20000</v>
      </c>
    </row>
    <row r="33" spans="1:5" ht="15.6" x14ac:dyDescent="0.3">
      <c r="A33" s="159" t="s">
        <v>70</v>
      </c>
      <c r="B33" s="160"/>
      <c r="C33" s="160"/>
      <c r="D33" s="160"/>
      <c r="E33" s="161"/>
    </row>
    <row r="34" spans="1:5" ht="15.6" x14ac:dyDescent="0.3">
      <c r="A34" s="162" t="s">
        <v>71</v>
      </c>
      <c r="B34" s="163"/>
      <c r="C34" s="163"/>
      <c r="D34" s="163"/>
      <c r="E34" s="41">
        <v>300000</v>
      </c>
    </row>
    <row r="35" spans="1:5" ht="15.6" x14ac:dyDescent="0.3">
      <c r="A35" s="131" t="s">
        <v>72</v>
      </c>
      <c r="B35" s="132"/>
      <c r="C35" s="132"/>
      <c r="D35" s="132"/>
      <c r="E35" s="40">
        <v>150000</v>
      </c>
    </row>
    <row r="36" spans="1:5" ht="15.6" x14ac:dyDescent="0.3">
      <c r="A36" s="159" t="s">
        <v>24</v>
      </c>
      <c r="B36" s="160"/>
      <c r="C36" s="160"/>
      <c r="D36" s="160"/>
      <c r="E36" s="161"/>
    </row>
    <row r="37" spans="1:5" ht="15.6" x14ac:dyDescent="0.3">
      <c r="A37" s="162" t="s">
        <v>73</v>
      </c>
      <c r="B37" s="163"/>
      <c r="C37" s="163"/>
      <c r="D37" s="163"/>
      <c r="E37" s="41">
        <v>50000</v>
      </c>
    </row>
    <row r="38" spans="1:5" ht="15.6" x14ac:dyDescent="0.3">
      <c r="A38" s="131" t="s">
        <v>74</v>
      </c>
      <c r="B38" s="132"/>
      <c r="C38" s="132"/>
      <c r="D38" s="132"/>
      <c r="E38" s="42"/>
    </row>
    <row r="39" spans="1:5" ht="15.6" x14ac:dyDescent="0.3">
      <c r="A39" s="168" t="s">
        <v>75</v>
      </c>
      <c r="B39" s="169"/>
      <c r="C39" s="169"/>
      <c r="D39" s="169"/>
      <c r="E39" s="36">
        <v>0.12</v>
      </c>
    </row>
    <row r="40" spans="1:5" ht="15.6" x14ac:dyDescent="0.3">
      <c r="A40" s="168" t="s">
        <v>76</v>
      </c>
      <c r="B40" s="169"/>
      <c r="C40" s="169"/>
      <c r="D40" s="169"/>
      <c r="E40" s="40">
        <v>5000</v>
      </c>
    </row>
    <row r="41" spans="1:5" ht="15.6" x14ac:dyDescent="0.3">
      <c r="A41" s="168" t="s">
        <v>77</v>
      </c>
      <c r="B41" s="169"/>
      <c r="C41" s="169"/>
      <c r="D41" s="169"/>
      <c r="E41" s="40">
        <v>5000</v>
      </c>
    </row>
    <row r="42" spans="1:5" ht="15.6" x14ac:dyDescent="0.3">
      <c r="A42" s="168" t="s">
        <v>78</v>
      </c>
      <c r="B42" s="169"/>
      <c r="C42" s="169"/>
      <c r="D42" s="169"/>
      <c r="E42" s="42"/>
    </row>
    <row r="43" spans="1:5" ht="15.6" x14ac:dyDescent="0.3">
      <c r="A43" s="164" t="s">
        <v>79</v>
      </c>
      <c r="B43" s="165"/>
      <c r="C43" s="165"/>
      <c r="D43" s="165"/>
      <c r="E43" s="42"/>
    </row>
    <row r="44" spans="1:5" ht="15.6" x14ac:dyDescent="0.3">
      <c r="A44" s="166"/>
      <c r="B44" s="167"/>
      <c r="C44" s="167"/>
      <c r="D44" s="167"/>
      <c r="E44" s="43"/>
    </row>
  </sheetData>
  <mergeCells count="42">
    <mergeCell ref="A43:D44"/>
    <mergeCell ref="A32:D32"/>
    <mergeCell ref="A33:E33"/>
    <mergeCell ref="A34:D34"/>
    <mergeCell ref="A35:D35"/>
    <mergeCell ref="A36:E36"/>
    <mergeCell ref="A37:D37"/>
    <mergeCell ref="A41:D41"/>
    <mergeCell ref="A38:D38"/>
    <mergeCell ref="A39:D39"/>
    <mergeCell ref="A40:D40"/>
    <mergeCell ref="A42:D42"/>
    <mergeCell ref="A31:D31"/>
    <mergeCell ref="A20:D20"/>
    <mergeCell ref="A21:D21"/>
    <mergeCell ref="A22:D22"/>
    <mergeCell ref="A23:D23"/>
    <mergeCell ref="A24:D24"/>
    <mergeCell ref="A25:E25"/>
    <mergeCell ref="A26:D26"/>
    <mergeCell ref="A27:D27"/>
    <mergeCell ref="A28:D28"/>
    <mergeCell ref="A29:E29"/>
    <mergeCell ref="A30:D30"/>
    <mergeCell ref="A19:D19"/>
    <mergeCell ref="A7:D7"/>
    <mergeCell ref="A8:D8"/>
    <mergeCell ref="A9:D9"/>
    <mergeCell ref="A10:D10"/>
    <mergeCell ref="A11:D11"/>
    <mergeCell ref="A13:D13"/>
    <mergeCell ref="A14:D14"/>
    <mergeCell ref="A15:E15"/>
    <mergeCell ref="A16:D16"/>
    <mergeCell ref="A17:E17"/>
    <mergeCell ref="A18:D18"/>
    <mergeCell ref="A6:D6"/>
    <mergeCell ref="A1:E1"/>
    <mergeCell ref="A2:E2"/>
    <mergeCell ref="A3:D3"/>
    <mergeCell ref="A4:D4"/>
    <mergeCell ref="A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A254-BEC9-4D11-8122-98607A43991B}">
  <dimension ref="A1:I5"/>
  <sheetViews>
    <sheetView workbookViewId="0">
      <selection activeCell="C3" sqref="C3"/>
    </sheetView>
  </sheetViews>
  <sheetFormatPr defaultRowHeight="14.4" x14ac:dyDescent="0.3"/>
  <cols>
    <col min="1" max="3" width="15.6640625" customWidth="1"/>
    <col min="4" max="4" width="2.6640625" customWidth="1"/>
    <col min="5" max="5" width="15.6640625" customWidth="1"/>
    <col min="6" max="6" width="2.6640625" customWidth="1"/>
    <col min="7" max="7" width="15.6640625" customWidth="1"/>
    <col min="8" max="8" width="2.6640625" customWidth="1"/>
    <col min="9" max="9" width="15.6640625" customWidth="1"/>
  </cols>
  <sheetData>
    <row r="1" spans="1:9" ht="23.4" x14ac:dyDescent="0.45">
      <c r="A1" s="170" t="s">
        <v>11</v>
      </c>
      <c r="B1" s="170"/>
      <c r="C1" s="170"/>
      <c r="D1" s="170"/>
      <c r="E1" s="170"/>
    </row>
    <row r="2" spans="1:9" ht="15.6" x14ac:dyDescent="0.3">
      <c r="A2" s="171"/>
      <c r="B2" s="171"/>
      <c r="C2" s="44" t="s">
        <v>43</v>
      </c>
      <c r="D2" s="45"/>
      <c r="E2" s="44" t="s">
        <v>44</v>
      </c>
      <c r="F2" s="45"/>
      <c r="G2" s="44" t="s">
        <v>45</v>
      </c>
      <c r="H2" s="45"/>
      <c r="I2" s="46" t="s">
        <v>80</v>
      </c>
    </row>
    <row r="3" spans="1:9" ht="15.6" x14ac:dyDescent="0.3">
      <c r="A3" s="172" t="s">
        <v>81</v>
      </c>
      <c r="B3" s="172"/>
      <c r="C3" s="47">
        <f>'Additional Information'!E6</f>
        <v>30000</v>
      </c>
      <c r="D3" s="45"/>
      <c r="E3" s="47">
        <f>'Additional Information'!E7</f>
        <v>40000</v>
      </c>
      <c r="F3" s="45"/>
      <c r="G3" s="47">
        <f>'Additional Information'!E8</f>
        <v>50000</v>
      </c>
      <c r="H3" s="45"/>
      <c r="I3" s="48">
        <f>SUM(C3,E3,G3)</f>
        <v>120000</v>
      </c>
    </row>
    <row r="4" spans="1:9" ht="15.6" x14ac:dyDescent="0.3">
      <c r="A4" s="172" t="s">
        <v>82</v>
      </c>
      <c r="B4" s="172"/>
      <c r="C4" s="49">
        <f>'Additional Information'!E11</f>
        <v>60</v>
      </c>
      <c r="D4" s="45"/>
      <c r="E4" s="49">
        <f>'Additional Information'!E11</f>
        <v>60</v>
      </c>
      <c r="F4" s="45"/>
      <c r="G4" s="49">
        <f>'Additional Information'!E11</f>
        <v>60</v>
      </c>
      <c r="H4" s="45"/>
      <c r="I4" s="50">
        <f>'Additional Information'!E11</f>
        <v>60</v>
      </c>
    </row>
    <row r="5" spans="1:9" ht="15.6" x14ac:dyDescent="0.3">
      <c r="A5" s="173" t="s">
        <v>83</v>
      </c>
      <c r="B5" s="173"/>
      <c r="C5" s="52">
        <f>C3*C4</f>
        <v>1800000</v>
      </c>
      <c r="D5" s="53"/>
      <c r="E5" s="52">
        <f>E3*E4</f>
        <v>2400000</v>
      </c>
      <c r="F5" s="53"/>
      <c r="G5" s="52">
        <f>G3*G4</f>
        <v>3000000</v>
      </c>
      <c r="H5" s="53"/>
      <c r="I5" s="52">
        <f>SUM(C5,E5,G5)</f>
        <v>7200000</v>
      </c>
    </row>
  </sheetData>
  <mergeCells count="5">
    <mergeCell ref="A1:E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C9197-FC4B-425A-AECD-725EF347225E}">
  <dimension ref="A1:I32"/>
  <sheetViews>
    <sheetView workbookViewId="0">
      <selection activeCell="A25" sqref="A25:I32"/>
    </sheetView>
  </sheetViews>
  <sheetFormatPr defaultRowHeight="14.4" x14ac:dyDescent="0.3"/>
  <cols>
    <col min="1" max="3" width="15.6640625" customWidth="1"/>
    <col min="4" max="4" width="2.6640625" customWidth="1"/>
    <col min="5" max="5" width="15.6640625" customWidth="1"/>
    <col min="6" max="6" width="2.6640625" customWidth="1"/>
    <col min="7" max="7" width="15.6640625" customWidth="1"/>
    <col min="8" max="8" width="2.6640625" customWidth="1"/>
    <col min="9" max="9" width="15.6640625" style="12" customWidth="1"/>
  </cols>
  <sheetData>
    <row r="1" spans="1:9" ht="23.4" x14ac:dyDescent="0.45">
      <c r="A1" s="170" t="s">
        <v>12</v>
      </c>
      <c r="B1" s="170"/>
      <c r="C1" s="170"/>
      <c r="D1" s="170"/>
      <c r="E1" s="170"/>
    </row>
    <row r="2" spans="1:9" ht="17.399999999999999" x14ac:dyDescent="0.35">
      <c r="A2" s="176" t="s">
        <v>84</v>
      </c>
      <c r="B2" s="176"/>
      <c r="C2" s="176"/>
      <c r="D2" s="176"/>
      <c r="E2" s="176"/>
      <c r="G2" s="14"/>
      <c r="I2" s="13"/>
    </row>
    <row r="3" spans="1:9" ht="15.6" x14ac:dyDescent="0.3">
      <c r="A3" s="51" t="s">
        <v>85</v>
      </c>
      <c r="B3" s="51"/>
      <c r="C3" s="54">
        <f>C32</f>
        <v>1350000</v>
      </c>
      <c r="D3" s="55"/>
      <c r="E3" s="54">
        <f>E32</f>
        <v>420000</v>
      </c>
      <c r="F3" s="55"/>
      <c r="G3" s="56">
        <f>G32</f>
        <v>0</v>
      </c>
      <c r="H3" s="55"/>
      <c r="I3" s="54">
        <f>I32</f>
        <v>1770000</v>
      </c>
    </row>
    <row r="4" spans="1:9" ht="15.6" x14ac:dyDescent="0.3">
      <c r="A4" s="173" t="s">
        <v>86</v>
      </c>
      <c r="B4" s="173"/>
      <c r="C4" s="55"/>
      <c r="D4" s="55"/>
      <c r="E4" s="55"/>
      <c r="F4" s="55"/>
      <c r="G4" s="55"/>
      <c r="H4" s="55"/>
      <c r="I4" s="55"/>
    </row>
    <row r="5" spans="1:9" ht="15.6" x14ac:dyDescent="0.3">
      <c r="A5" s="174" t="s">
        <v>87</v>
      </c>
      <c r="B5" s="174"/>
      <c r="C5" s="58">
        <f>'Sales Budget'!C5*'Additional Information'!E12</f>
        <v>540000</v>
      </c>
      <c r="D5" s="55"/>
      <c r="E5" s="55"/>
      <c r="F5" s="55"/>
      <c r="G5" s="55"/>
      <c r="H5" s="55"/>
      <c r="I5" s="58">
        <f>SUM(C5,E5,G5)</f>
        <v>540000</v>
      </c>
    </row>
    <row r="6" spans="1:9" ht="15.6" x14ac:dyDescent="0.3">
      <c r="A6" s="174" t="s">
        <v>88</v>
      </c>
      <c r="B6" s="174"/>
      <c r="C6" s="55"/>
      <c r="D6" s="55"/>
      <c r="E6" s="58">
        <f>'Sales Budget'!C5*'Additional Information'!E13</f>
        <v>900000</v>
      </c>
      <c r="F6" s="55"/>
      <c r="G6" s="55"/>
      <c r="H6" s="55"/>
      <c r="I6" s="58">
        <f>SUM(C6,E6,G6)</f>
        <v>900000</v>
      </c>
    </row>
    <row r="7" spans="1:9" ht="15.6" x14ac:dyDescent="0.3">
      <c r="A7" s="174" t="s">
        <v>89</v>
      </c>
      <c r="B7" s="174"/>
      <c r="C7" s="55"/>
      <c r="D7" s="55"/>
      <c r="E7" s="55"/>
      <c r="F7" s="55"/>
      <c r="G7" s="58">
        <f>'Sales Budget'!C5*'Additional Information'!E14</f>
        <v>360000</v>
      </c>
      <c r="H7" s="55"/>
      <c r="I7" s="58">
        <f>SUM(C7,E7,G7)</f>
        <v>360000</v>
      </c>
    </row>
    <row r="8" spans="1:9" ht="15.6" x14ac:dyDescent="0.3">
      <c r="A8" s="173" t="s">
        <v>90</v>
      </c>
      <c r="B8" s="173"/>
      <c r="C8" s="55"/>
      <c r="D8" s="55"/>
      <c r="E8" s="55"/>
      <c r="F8" s="55"/>
      <c r="G8" s="55"/>
      <c r="H8" s="55"/>
      <c r="I8" s="55"/>
    </row>
    <row r="9" spans="1:9" ht="15.6" x14ac:dyDescent="0.3">
      <c r="A9" s="174" t="s">
        <v>91</v>
      </c>
      <c r="B9" s="174"/>
      <c r="C9" s="55"/>
      <c r="D9" s="55"/>
      <c r="E9" s="58">
        <f>'Sales Budget'!E5*'Additional Information'!E12</f>
        <v>720000</v>
      </c>
      <c r="F9" s="55"/>
      <c r="G9" s="55"/>
      <c r="H9" s="55"/>
      <c r="I9" s="58">
        <f>SUM(C9,E9,G9)</f>
        <v>720000</v>
      </c>
    </row>
    <row r="10" spans="1:9" ht="15.6" x14ac:dyDescent="0.3">
      <c r="A10" s="174" t="s">
        <v>92</v>
      </c>
      <c r="B10" s="174"/>
      <c r="C10" s="55"/>
      <c r="D10" s="55"/>
      <c r="E10" s="55"/>
      <c r="F10" s="55"/>
      <c r="G10" s="58">
        <f>'Sales Budget'!E5*'Additional Information'!E13</f>
        <v>1200000</v>
      </c>
      <c r="H10" s="55"/>
      <c r="I10" s="58">
        <f>SUM(C10,E10,G10)</f>
        <v>1200000</v>
      </c>
    </row>
    <row r="11" spans="1:9" ht="15.6" x14ac:dyDescent="0.3">
      <c r="A11" s="173" t="s">
        <v>93</v>
      </c>
      <c r="B11" s="173"/>
      <c r="C11" s="55"/>
      <c r="D11" s="55"/>
      <c r="E11" s="55"/>
      <c r="F11" s="55"/>
      <c r="G11" s="55"/>
      <c r="H11" s="55"/>
      <c r="I11" s="55"/>
    </row>
    <row r="12" spans="1:9" ht="15.6" x14ac:dyDescent="0.3">
      <c r="A12" s="174" t="s">
        <v>94</v>
      </c>
      <c r="B12" s="174"/>
      <c r="C12" s="55"/>
      <c r="D12" s="55"/>
      <c r="E12" s="55"/>
      <c r="F12" s="55"/>
      <c r="G12" s="58">
        <f>'Sales Budget'!G5*'Additional Information'!E12</f>
        <v>900000</v>
      </c>
      <c r="H12" s="55"/>
      <c r="I12" s="58">
        <f>SUM(C12,E12,G12)</f>
        <v>900000</v>
      </c>
    </row>
    <row r="13" spans="1:9" ht="15.6" x14ac:dyDescent="0.3">
      <c r="A13" s="173" t="s">
        <v>95</v>
      </c>
      <c r="B13" s="173"/>
      <c r="C13" s="59">
        <f>SUM(C3,C5,C6,C7,C9,C10,C12)</f>
        <v>1890000</v>
      </c>
      <c r="D13" s="60"/>
      <c r="E13" s="59">
        <f>SUM(E3,E6,E9,E7,E10,E12)</f>
        <v>2040000</v>
      </c>
      <c r="F13" s="60"/>
      <c r="G13" s="59">
        <f>SUM(G3,G6, G7,G10,G12)</f>
        <v>2460000</v>
      </c>
      <c r="H13" s="60"/>
      <c r="I13" s="59">
        <f>SUM(I3,I5,I6,I7,I9,I10,I12)</f>
        <v>6390000</v>
      </c>
    </row>
    <row r="14" spans="1:9" x14ac:dyDescent="0.3">
      <c r="A14" s="1"/>
      <c r="B14" s="1"/>
      <c r="C14" s="2"/>
      <c r="D14" s="11"/>
      <c r="E14" s="2"/>
      <c r="F14" s="11"/>
      <c r="G14" s="2"/>
      <c r="H14" s="11"/>
      <c r="I14" s="3"/>
    </row>
    <row r="15" spans="1:9" ht="17.399999999999999" x14ac:dyDescent="0.35">
      <c r="A15" s="176" t="s">
        <v>96</v>
      </c>
      <c r="B15" s="176"/>
      <c r="C15" s="176"/>
      <c r="D15" s="176"/>
      <c r="E15" s="176"/>
    </row>
    <row r="16" spans="1:9" ht="15.6" x14ac:dyDescent="0.3">
      <c r="A16" s="173" t="s">
        <v>97</v>
      </c>
      <c r="B16" s="173"/>
      <c r="C16" s="45"/>
      <c r="D16" s="45"/>
      <c r="E16" s="45"/>
      <c r="F16" s="45"/>
      <c r="G16" s="45"/>
      <c r="H16" s="45"/>
      <c r="I16" s="55"/>
    </row>
    <row r="17" spans="1:9" ht="15.6" x14ac:dyDescent="0.3">
      <c r="A17" s="174" t="s">
        <v>90</v>
      </c>
      <c r="B17" s="174"/>
      <c r="C17" s="55"/>
      <c r="D17" s="55"/>
      <c r="E17" s="55"/>
      <c r="F17" s="55"/>
      <c r="G17" s="55"/>
      <c r="H17" s="55"/>
      <c r="I17" s="55"/>
    </row>
    <row r="18" spans="1:9" ht="15.6" x14ac:dyDescent="0.3">
      <c r="A18" s="175" t="s">
        <v>98</v>
      </c>
      <c r="B18" s="175"/>
      <c r="C18" s="55"/>
      <c r="D18" s="55"/>
      <c r="E18" s="58">
        <f>'Sales Budget'!E5*'Additional Information'!E14</f>
        <v>480000</v>
      </c>
      <c r="F18" s="55"/>
      <c r="G18" s="55"/>
      <c r="H18" s="55"/>
      <c r="I18" s="58">
        <f>SUM(C18,E18,G18)</f>
        <v>480000</v>
      </c>
    </row>
    <row r="19" spans="1:9" ht="15.6" x14ac:dyDescent="0.3">
      <c r="A19" s="174" t="s">
        <v>93</v>
      </c>
      <c r="B19" s="174"/>
      <c r="C19" s="55"/>
      <c r="D19" s="55"/>
      <c r="E19" s="55"/>
      <c r="F19" s="55"/>
      <c r="G19" s="55"/>
      <c r="H19" s="55"/>
      <c r="I19" s="55"/>
    </row>
    <row r="20" spans="1:9" ht="15.6" x14ac:dyDescent="0.3">
      <c r="A20" s="61" t="s">
        <v>99</v>
      </c>
      <c r="B20" s="61"/>
      <c r="C20" s="55"/>
      <c r="D20" s="55"/>
      <c r="E20" s="55"/>
      <c r="F20" s="55"/>
      <c r="G20" s="58">
        <f>'Sales Budget'!G5*'Additional Information'!E13</f>
        <v>1500000</v>
      </c>
      <c r="H20" s="55"/>
      <c r="I20" s="58">
        <f>SUM(C20,E20,G20)</f>
        <v>1500000</v>
      </c>
    </row>
    <row r="21" spans="1:9" ht="15.6" x14ac:dyDescent="0.3">
      <c r="A21" s="175" t="s">
        <v>100</v>
      </c>
      <c r="B21" s="175"/>
      <c r="C21" s="55"/>
      <c r="D21" s="55"/>
      <c r="E21" s="55"/>
      <c r="F21" s="55"/>
      <c r="G21" s="58">
        <f>'Sales Budget'!G5*'Additional Information'!E14</f>
        <v>600000</v>
      </c>
      <c r="H21" s="55"/>
      <c r="I21" s="58">
        <f>SUM(C21,E21,G21)</f>
        <v>600000</v>
      </c>
    </row>
    <row r="22" spans="1:9" ht="15.6" x14ac:dyDescent="0.3">
      <c r="A22" s="178" t="s">
        <v>101</v>
      </c>
      <c r="B22" s="178"/>
      <c r="C22" s="62">
        <f>SUM(C18,C20,C21)</f>
        <v>0</v>
      </c>
      <c r="D22" s="55"/>
      <c r="E22" s="62">
        <f>SUM(E18,E20,E21)</f>
        <v>480000</v>
      </c>
      <c r="F22" s="55"/>
      <c r="G22" s="62">
        <f>SUM(G18,G20,G21)</f>
        <v>2100000</v>
      </c>
      <c r="H22" s="55"/>
      <c r="I22" s="63">
        <f>SUM(I18,I20,I21)</f>
        <v>2580000</v>
      </c>
    </row>
    <row r="24" spans="1:9" ht="17.399999999999999" x14ac:dyDescent="0.35">
      <c r="A24" s="176" t="s">
        <v>102</v>
      </c>
      <c r="B24" s="176"/>
      <c r="C24" s="176"/>
      <c r="D24" s="176"/>
      <c r="E24" s="176"/>
    </row>
    <row r="25" spans="1:9" ht="15.6" x14ac:dyDescent="0.3">
      <c r="A25" s="171"/>
      <c r="B25" s="171"/>
      <c r="C25" s="44" t="s">
        <v>43</v>
      </c>
      <c r="D25" s="45"/>
      <c r="E25" s="44" t="s">
        <v>44</v>
      </c>
      <c r="F25" s="45"/>
      <c r="G25" s="44" t="s">
        <v>45</v>
      </c>
      <c r="H25" s="45"/>
      <c r="I25" s="44" t="s">
        <v>80</v>
      </c>
    </row>
    <row r="26" spans="1:9" ht="15.6" x14ac:dyDescent="0.3">
      <c r="A26" s="173" t="s">
        <v>85</v>
      </c>
      <c r="B26" s="173"/>
      <c r="C26" s="45"/>
      <c r="D26" s="45"/>
      <c r="E26" s="45"/>
      <c r="F26" s="45"/>
      <c r="G26" s="45"/>
      <c r="H26" s="45"/>
      <c r="I26" s="55"/>
    </row>
    <row r="27" spans="1:9" ht="15.6" x14ac:dyDescent="0.3">
      <c r="A27" s="174" t="s">
        <v>103</v>
      </c>
      <c r="B27" s="174"/>
      <c r="C27" s="45"/>
      <c r="D27" s="45"/>
      <c r="E27" s="45"/>
      <c r="F27" s="45"/>
      <c r="G27" s="45"/>
      <c r="H27" s="45"/>
      <c r="I27" s="55"/>
    </row>
    <row r="28" spans="1:9" ht="15.6" x14ac:dyDescent="0.3">
      <c r="A28" s="175" t="s">
        <v>104</v>
      </c>
      <c r="B28" s="175"/>
      <c r="C28" s="58">
        <f>'Additional Information'!E3*'Additional Information'!E14</f>
        <v>300000</v>
      </c>
      <c r="D28" s="55"/>
      <c r="E28" s="55"/>
      <c r="F28" s="55"/>
      <c r="G28" s="55"/>
      <c r="H28" s="55"/>
      <c r="I28" s="58">
        <f>SUM(C28,E28,G28)</f>
        <v>300000</v>
      </c>
    </row>
    <row r="29" spans="1:9" ht="15.6" x14ac:dyDescent="0.3">
      <c r="A29" s="174" t="s">
        <v>105</v>
      </c>
      <c r="B29" s="174"/>
      <c r="C29" s="55"/>
      <c r="D29" s="55"/>
      <c r="E29" s="55"/>
      <c r="F29" s="55"/>
      <c r="G29" s="55"/>
      <c r="H29" s="55"/>
      <c r="I29" s="55"/>
    </row>
    <row r="30" spans="1:9" ht="15.6" x14ac:dyDescent="0.3">
      <c r="A30" s="175" t="s">
        <v>106</v>
      </c>
      <c r="B30" s="175"/>
      <c r="C30" s="58">
        <f>'Additional Information'!E4*'Additional Information'!E13</f>
        <v>1050000</v>
      </c>
      <c r="D30" s="55"/>
      <c r="E30" s="55"/>
      <c r="F30" s="55"/>
      <c r="G30" s="55"/>
      <c r="H30" s="55"/>
      <c r="I30" s="58">
        <f>SUM(C30,E30,G30)</f>
        <v>1050000</v>
      </c>
    </row>
    <row r="31" spans="1:9" ht="15.6" x14ac:dyDescent="0.3">
      <c r="A31" s="175" t="s">
        <v>107</v>
      </c>
      <c r="B31" s="175"/>
      <c r="C31" s="55"/>
      <c r="D31" s="55"/>
      <c r="E31" s="58">
        <f>'Additional Information'!E4*'Additional Information'!E14</f>
        <v>420000</v>
      </c>
      <c r="F31" s="55"/>
      <c r="G31" s="55"/>
      <c r="H31" s="55"/>
      <c r="I31" s="58">
        <f>SUM(C31,E31,G31)</f>
        <v>420000</v>
      </c>
    </row>
    <row r="32" spans="1:9" ht="15.6" x14ac:dyDescent="0.3">
      <c r="A32" s="177" t="s">
        <v>101</v>
      </c>
      <c r="B32" s="177"/>
      <c r="C32" s="63">
        <f>SUM(C28,C30,C31)</f>
        <v>1350000</v>
      </c>
      <c r="D32" s="55"/>
      <c r="E32" s="63">
        <f>SUM(E28,E30,E31)</f>
        <v>420000</v>
      </c>
      <c r="F32" s="55"/>
      <c r="G32" s="64">
        <f>SUM(G28,G30,G31)</f>
        <v>0</v>
      </c>
      <c r="H32" s="55"/>
      <c r="I32" s="63">
        <f>SUM(C32,E32,G32)</f>
        <v>1770000</v>
      </c>
    </row>
  </sheetData>
  <mergeCells count="28">
    <mergeCell ref="A32:B32"/>
    <mergeCell ref="A24:E24"/>
    <mergeCell ref="A2:E2"/>
    <mergeCell ref="A11:B11"/>
    <mergeCell ref="A28:B28"/>
    <mergeCell ref="A27:B27"/>
    <mergeCell ref="A29:B29"/>
    <mergeCell ref="A30:B30"/>
    <mergeCell ref="A31:B31"/>
    <mergeCell ref="A6:B6"/>
    <mergeCell ref="A7:B7"/>
    <mergeCell ref="A8:B8"/>
    <mergeCell ref="A9:B9"/>
    <mergeCell ref="A10:B10"/>
    <mergeCell ref="A22:B22"/>
    <mergeCell ref="A13:B13"/>
    <mergeCell ref="A1:E1"/>
    <mergeCell ref="A25:B25"/>
    <mergeCell ref="A26:B26"/>
    <mergeCell ref="A4:B4"/>
    <mergeCell ref="A5:B5"/>
    <mergeCell ref="A12:B12"/>
    <mergeCell ref="A16:B16"/>
    <mergeCell ref="A21:B21"/>
    <mergeCell ref="A19:B19"/>
    <mergeCell ref="A18:B18"/>
    <mergeCell ref="A17:B17"/>
    <mergeCell ref="A15:E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2A8D-40A0-4BBC-90CB-AE6AB03A3502}">
  <dimension ref="A1:I20"/>
  <sheetViews>
    <sheetView workbookViewId="0">
      <selection activeCell="A19" sqref="A19:B19"/>
    </sheetView>
  </sheetViews>
  <sheetFormatPr defaultRowHeight="14.4" x14ac:dyDescent="0.3"/>
  <cols>
    <col min="1" max="3" width="15.6640625" customWidth="1"/>
    <col min="4" max="4" width="2.6640625" customWidth="1"/>
    <col min="5" max="5" width="15.6640625" customWidth="1"/>
    <col min="6" max="6" width="2.6640625" customWidth="1"/>
    <col min="7" max="7" width="15.6640625" customWidth="1"/>
    <col min="8" max="8" width="2.6640625" customWidth="1"/>
    <col min="9" max="9" width="15.6640625" customWidth="1"/>
  </cols>
  <sheetData>
    <row r="1" spans="1:9" ht="23.4" x14ac:dyDescent="0.45">
      <c r="A1" s="170" t="s">
        <v>13</v>
      </c>
      <c r="B1" s="170"/>
      <c r="C1" s="170"/>
      <c r="D1" s="170"/>
      <c r="E1" s="170"/>
    </row>
    <row r="2" spans="1:9" ht="15.6" x14ac:dyDescent="0.3">
      <c r="A2" s="171"/>
      <c r="B2" s="171"/>
      <c r="C2" s="44" t="s">
        <v>43</v>
      </c>
      <c r="D2" s="45"/>
      <c r="E2" s="44" t="s">
        <v>44</v>
      </c>
      <c r="F2" s="45"/>
      <c r="G2" s="44" t="s">
        <v>45</v>
      </c>
      <c r="H2" s="45"/>
      <c r="I2" s="44" t="s">
        <v>80</v>
      </c>
    </row>
    <row r="3" spans="1:9" ht="15.6" x14ac:dyDescent="0.3">
      <c r="A3" s="172" t="s">
        <v>108</v>
      </c>
      <c r="B3" s="172"/>
      <c r="C3" s="65">
        <f>'Additional Information'!E6</f>
        <v>30000</v>
      </c>
      <c r="D3" s="65"/>
      <c r="E3" s="65">
        <f>'Additional Information'!E7</f>
        <v>40000</v>
      </c>
      <c r="F3" s="65"/>
      <c r="G3" s="65">
        <f>'Additional Information'!E8</f>
        <v>50000</v>
      </c>
      <c r="H3" s="65"/>
      <c r="I3" s="65">
        <f>SUM(C3,E3,G3)</f>
        <v>120000</v>
      </c>
    </row>
    <row r="4" spans="1:9" ht="15.6" x14ac:dyDescent="0.3">
      <c r="A4" s="172" t="s">
        <v>109</v>
      </c>
      <c r="B4" s="172"/>
      <c r="C4" s="66">
        <f>E3*C19</f>
        <v>16000</v>
      </c>
      <c r="D4" s="65"/>
      <c r="E4" s="66">
        <f>G3*C19</f>
        <v>20000</v>
      </c>
      <c r="F4" s="65"/>
      <c r="G4" s="66">
        <f>C11*C19</f>
        <v>18000</v>
      </c>
      <c r="H4" s="65"/>
      <c r="I4" s="66">
        <f>G4</f>
        <v>18000</v>
      </c>
    </row>
    <row r="5" spans="1:9" ht="15.6" x14ac:dyDescent="0.3">
      <c r="A5" s="172" t="s">
        <v>110</v>
      </c>
      <c r="B5" s="172"/>
      <c r="C5" s="65">
        <f>SUM(C3,C4)</f>
        <v>46000</v>
      </c>
      <c r="D5" s="65"/>
      <c r="E5" s="65">
        <f>SUM(E3,E4)</f>
        <v>60000</v>
      </c>
      <c r="F5" s="65"/>
      <c r="G5" s="65">
        <f>SUM(G3,G4)</f>
        <v>68000</v>
      </c>
      <c r="H5" s="65"/>
      <c r="I5" s="65">
        <f>I3+I4</f>
        <v>138000</v>
      </c>
    </row>
    <row r="6" spans="1:9" ht="15.6" x14ac:dyDescent="0.3">
      <c r="A6" s="172" t="s">
        <v>111</v>
      </c>
      <c r="B6" s="172"/>
      <c r="C6" s="65">
        <f>C20</f>
        <v>12000</v>
      </c>
      <c r="D6" s="65"/>
      <c r="E6" s="65">
        <f>'Additional Information'!E7*'Additional Information'!E16</f>
        <v>16000</v>
      </c>
      <c r="F6" s="65"/>
      <c r="G6" s="65">
        <f>'Additional Information'!E8*'Additional Information'!E16</f>
        <v>20000</v>
      </c>
      <c r="H6" s="65"/>
      <c r="I6" s="65">
        <f>C6</f>
        <v>12000</v>
      </c>
    </row>
    <row r="7" spans="1:9" ht="15.6" x14ac:dyDescent="0.3">
      <c r="A7" s="173" t="s">
        <v>112</v>
      </c>
      <c r="B7" s="173"/>
      <c r="C7" s="67">
        <f>C5-C6</f>
        <v>34000</v>
      </c>
      <c r="D7" s="65"/>
      <c r="E7" s="67">
        <f>E5-E6</f>
        <v>44000</v>
      </c>
      <c r="F7" s="65"/>
      <c r="G7" s="67">
        <f>G5-G6</f>
        <v>48000</v>
      </c>
      <c r="H7" s="65"/>
      <c r="I7" s="67">
        <f>I5-I6</f>
        <v>126000</v>
      </c>
    </row>
    <row r="8" spans="1:9" ht="15.6" x14ac:dyDescent="0.3">
      <c r="A8" s="45"/>
      <c r="B8" s="45"/>
      <c r="C8" s="45"/>
      <c r="D8" s="45"/>
      <c r="E8" s="45"/>
      <c r="F8" s="45"/>
      <c r="G8" s="45"/>
      <c r="H8" s="45"/>
      <c r="I8" s="45"/>
    </row>
    <row r="9" spans="1:9" ht="15.6" x14ac:dyDescent="0.3">
      <c r="A9" s="45"/>
      <c r="B9" s="45"/>
      <c r="C9" s="45"/>
      <c r="D9" s="45"/>
      <c r="E9" s="45"/>
      <c r="F9" s="45"/>
      <c r="G9" s="45"/>
      <c r="H9" s="45"/>
      <c r="I9" s="45"/>
    </row>
    <row r="10" spans="1:9" ht="17.399999999999999" x14ac:dyDescent="0.35">
      <c r="A10" s="176" t="s">
        <v>113</v>
      </c>
      <c r="B10" s="176"/>
      <c r="C10" s="176"/>
      <c r="D10" s="176"/>
      <c r="E10" s="176"/>
    </row>
    <row r="11" spans="1:9" ht="15.6" x14ac:dyDescent="0.3">
      <c r="A11" s="172" t="s">
        <v>108</v>
      </c>
      <c r="B11" s="172"/>
      <c r="C11" s="65">
        <f>'Additional Information'!E9</f>
        <v>45000</v>
      </c>
      <c r="D11" s="45"/>
      <c r="E11" s="45"/>
      <c r="F11" s="45"/>
      <c r="G11" s="45"/>
      <c r="H11" s="45"/>
      <c r="I11" s="45"/>
    </row>
    <row r="12" spans="1:9" ht="15.6" x14ac:dyDescent="0.3">
      <c r="A12" s="172" t="s">
        <v>109</v>
      </c>
      <c r="B12" s="172"/>
      <c r="C12" s="66">
        <f>'Additional Information'!E10*'Additional Information'!E16</f>
        <v>14000</v>
      </c>
      <c r="D12" s="45"/>
      <c r="E12" s="45"/>
      <c r="F12" s="45"/>
      <c r="G12" s="45"/>
      <c r="H12" s="45"/>
      <c r="I12" s="45"/>
    </row>
    <row r="13" spans="1:9" ht="15.6" x14ac:dyDescent="0.3">
      <c r="A13" s="172" t="s">
        <v>110</v>
      </c>
      <c r="B13" s="172"/>
      <c r="C13" s="65">
        <f>SUM(C11,C12)</f>
        <v>59000</v>
      </c>
      <c r="D13" s="45"/>
      <c r="E13" s="45"/>
      <c r="F13" s="45"/>
      <c r="G13" s="45"/>
      <c r="H13" s="45"/>
      <c r="I13" s="45"/>
    </row>
    <row r="14" spans="1:9" ht="15.6" x14ac:dyDescent="0.3">
      <c r="A14" s="172" t="s">
        <v>114</v>
      </c>
      <c r="B14" s="172"/>
      <c r="C14" s="66">
        <f>C11*'Additional Information'!E16</f>
        <v>18000</v>
      </c>
      <c r="D14" s="45"/>
      <c r="E14" s="45"/>
      <c r="F14" s="45"/>
      <c r="G14" s="45"/>
      <c r="H14" s="45"/>
      <c r="I14" s="45"/>
    </row>
    <row r="15" spans="1:9" ht="15.6" x14ac:dyDescent="0.3">
      <c r="A15" s="172" t="s">
        <v>112</v>
      </c>
      <c r="B15" s="172"/>
      <c r="C15" s="68">
        <f>C13-C14</f>
        <v>41000</v>
      </c>
      <c r="D15" s="45"/>
      <c r="E15" s="45"/>
      <c r="F15" s="45"/>
      <c r="G15" s="45"/>
      <c r="H15" s="45"/>
      <c r="I15" s="45"/>
    </row>
    <row r="16" spans="1:9" x14ac:dyDescent="0.3">
      <c r="A16" s="155"/>
      <c r="B16" s="155"/>
      <c r="C16" s="15"/>
    </row>
    <row r="17" spans="1:9" ht="17.399999999999999" x14ac:dyDescent="0.35">
      <c r="A17" s="19" t="s">
        <v>115</v>
      </c>
      <c r="B17" s="19"/>
      <c r="C17" s="20"/>
    </row>
    <row r="18" spans="1:9" ht="15.6" x14ac:dyDescent="0.3">
      <c r="A18" s="179" t="s">
        <v>108</v>
      </c>
      <c r="B18" s="179"/>
      <c r="C18" s="48">
        <f>'Additional Information'!E6</f>
        <v>30000</v>
      </c>
      <c r="D18" s="45"/>
      <c r="E18" s="45"/>
      <c r="F18" s="45"/>
      <c r="G18" s="45"/>
      <c r="H18" s="45"/>
      <c r="I18" s="45"/>
    </row>
    <row r="19" spans="1:9" ht="15.6" x14ac:dyDescent="0.3">
      <c r="A19" s="172" t="s">
        <v>116</v>
      </c>
      <c r="B19" s="172"/>
      <c r="C19" s="69">
        <f>'Additional Information'!E16</f>
        <v>0.4</v>
      </c>
      <c r="D19" s="45"/>
      <c r="E19" s="45"/>
      <c r="F19" s="45"/>
      <c r="G19" s="45"/>
      <c r="H19" s="45"/>
      <c r="I19" s="45"/>
    </row>
    <row r="20" spans="1:9" ht="15.6" x14ac:dyDescent="0.3">
      <c r="A20" s="172" t="s">
        <v>117</v>
      </c>
      <c r="B20" s="172"/>
      <c r="C20" s="70">
        <f>C18*C19</f>
        <v>12000</v>
      </c>
      <c r="D20" s="45"/>
      <c r="E20" s="45"/>
      <c r="F20" s="45"/>
      <c r="G20" s="45"/>
      <c r="H20" s="45"/>
      <c r="I20" s="45"/>
    </row>
  </sheetData>
  <mergeCells count="17">
    <mergeCell ref="A10:E10"/>
    <mergeCell ref="A13:B13"/>
    <mergeCell ref="A14:B14"/>
    <mergeCell ref="A7:B7"/>
    <mergeCell ref="A6:B6"/>
    <mergeCell ref="A11:B11"/>
    <mergeCell ref="A12:B12"/>
    <mergeCell ref="A1:E1"/>
    <mergeCell ref="A2:B2"/>
    <mergeCell ref="A3:B3"/>
    <mergeCell ref="A4:B4"/>
    <mergeCell ref="A5:B5"/>
    <mergeCell ref="A18:B18"/>
    <mergeCell ref="A19:B19"/>
    <mergeCell ref="A20:B20"/>
    <mergeCell ref="A15:B15"/>
    <mergeCell ref="A16:B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2A64-B91A-49E6-81DE-8931C2B90525}">
  <dimension ref="A1:I24"/>
  <sheetViews>
    <sheetView workbookViewId="0">
      <selection activeCell="A22" sqref="A22:I24"/>
    </sheetView>
  </sheetViews>
  <sheetFormatPr defaultRowHeight="14.4" x14ac:dyDescent="0.3"/>
  <cols>
    <col min="1" max="3" width="15.6640625" customWidth="1"/>
    <col min="4" max="4" width="2.6640625" customWidth="1"/>
    <col min="5" max="5" width="15.6640625" customWidth="1"/>
    <col min="6" max="6" width="2.6640625" customWidth="1"/>
    <col min="7" max="7" width="15.6640625" customWidth="1"/>
    <col min="8" max="8" width="2.6640625" customWidth="1"/>
    <col min="9" max="9" width="15.6640625" customWidth="1"/>
  </cols>
  <sheetData>
    <row r="1" spans="1:9" ht="23.4" x14ac:dyDescent="0.45">
      <c r="A1" s="170" t="s">
        <v>14</v>
      </c>
      <c r="B1" s="170"/>
      <c r="C1" s="170"/>
      <c r="D1" s="170"/>
      <c r="E1" s="170"/>
    </row>
    <row r="2" spans="1:9" ht="15.6" x14ac:dyDescent="0.3">
      <c r="A2" s="171"/>
      <c r="B2" s="171"/>
      <c r="C2" s="44" t="s">
        <v>43</v>
      </c>
      <c r="D2" s="45"/>
      <c r="E2" s="44" t="s">
        <v>44</v>
      </c>
      <c r="F2" s="45"/>
      <c r="G2" s="44" t="s">
        <v>45</v>
      </c>
      <c r="H2" s="45"/>
      <c r="I2" s="44" t="s">
        <v>80</v>
      </c>
    </row>
    <row r="3" spans="1:9" ht="15.6" x14ac:dyDescent="0.3">
      <c r="A3" s="172" t="s">
        <v>118</v>
      </c>
      <c r="B3" s="172"/>
      <c r="C3" s="65">
        <f>'Production Budget'!C7</f>
        <v>34000</v>
      </c>
      <c r="D3" s="65"/>
      <c r="E3" s="65">
        <f>'Production Budget'!E7</f>
        <v>44000</v>
      </c>
      <c r="F3" s="65"/>
      <c r="G3" s="65">
        <f>'Production Budget'!G7</f>
        <v>48000</v>
      </c>
      <c r="H3" s="65"/>
      <c r="I3" s="65">
        <f>SUM(C3,E3,G3)</f>
        <v>126000</v>
      </c>
    </row>
    <row r="4" spans="1:9" ht="15.6" x14ac:dyDescent="0.3">
      <c r="A4" s="172" t="s">
        <v>119</v>
      </c>
      <c r="B4" s="172"/>
      <c r="C4" s="66">
        <f>'Additional Information'!E18</f>
        <v>3</v>
      </c>
      <c r="D4" s="65"/>
      <c r="E4" s="66">
        <f>'Additional Information'!E18</f>
        <v>3</v>
      </c>
      <c r="F4" s="65"/>
      <c r="G4" s="66">
        <f>'Additional Information'!E18</f>
        <v>3</v>
      </c>
      <c r="H4" s="65"/>
      <c r="I4" s="66">
        <f>'Additional Information'!E18</f>
        <v>3</v>
      </c>
    </row>
    <row r="5" spans="1:9" ht="15.6" x14ac:dyDescent="0.3">
      <c r="A5" s="172" t="s">
        <v>120</v>
      </c>
      <c r="B5" s="172"/>
      <c r="C5" s="65">
        <f>C3*C4</f>
        <v>102000</v>
      </c>
      <c r="D5" s="65"/>
      <c r="E5" s="65">
        <f>E3*E4</f>
        <v>132000</v>
      </c>
      <c r="F5" s="65"/>
      <c r="G5" s="65">
        <f>G3*G4</f>
        <v>144000</v>
      </c>
      <c r="H5" s="65"/>
      <c r="I5" s="65">
        <f>I3*I4</f>
        <v>378000</v>
      </c>
    </row>
    <row r="6" spans="1:9" ht="15.6" x14ac:dyDescent="0.3">
      <c r="A6" s="172" t="s">
        <v>121</v>
      </c>
      <c r="B6" s="172"/>
      <c r="C6" s="66">
        <f>E5*E14</f>
        <v>26400</v>
      </c>
      <c r="D6" s="65"/>
      <c r="E6" s="66">
        <f>G5*E14</f>
        <v>28800</v>
      </c>
      <c r="F6" s="65"/>
      <c r="G6" s="66">
        <f>C19*E14</f>
        <v>24600</v>
      </c>
      <c r="H6" s="65"/>
      <c r="I6" s="66">
        <f>G6</f>
        <v>24600</v>
      </c>
    </row>
    <row r="7" spans="1:9" ht="15.6" x14ac:dyDescent="0.3">
      <c r="A7" s="172" t="s">
        <v>122</v>
      </c>
      <c r="B7" s="172"/>
      <c r="C7" s="65">
        <f>C5+C6</f>
        <v>128400</v>
      </c>
      <c r="D7" s="65"/>
      <c r="E7" s="65">
        <f>E5+E6</f>
        <v>160800</v>
      </c>
      <c r="F7" s="65"/>
      <c r="G7" s="65">
        <f>G5+G6</f>
        <v>168600</v>
      </c>
      <c r="H7" s="65"/>
      <c r="I7" s="65">
        <f>I5+I6</f>
        <v>402600</v>
      </c>
    </row>
    <row r="8" spans="1:9" ht="15.6" x14ac:dyDescent="0.3">
      <c r="A8" s="172" t="s">
        <v>123</v>
      </c>
      <c r="B8" s="172"/>
      <c r="C8" s="65">
        <f>C24</f>
        <v>20400</v>
      </c>
      <c r="D8" s="65"/>
      <c r="E8" s="65">
        <f>E5*'Additional Information'!E19</f>
        <v>26400</v>
      </c>
      <c r="F8" s="65"/>
      <c r="G8" s="65">
        <f>G5*'Additional Information'!E19</f>
        <v>28800</v>
      </c>
      <c r="H8" s="65"/>
      <c r="I8" s="65">
        <f>C8</f>
        <v>20400</v>
      </c>
    </row>
    <row r="9" spans="1:9" ht="15.6" x14ac:dyDescent="0.3">
      <c r="A9" s="173" t="s">
        <v>124</v>
      </c>
      <c r="B9" s="173"/>
      <c r="C9" s="67">
        <f>C7-C8</f>
        <v>108000</v>
      </c>
      <c r="D9" s="65"/>
      <c r="E9" s="67">
        <f>E7-E8</f>
        <v>134400</v>
      </c>
      <c r="F9" s="65"/>
      <c r="G9" s="67">
        <f>G7-G8</f>
        <v>139800</v>
      </c>
      <c r="H9" s="65"/>
      <c r="I9" s="67">
        <f>I7-I8</f>
        <v>382200</v>
      </c>
    </row>
    <row r="10" spans="1:9" ht="15.6" x14ac:dyDescent="0.3">
      <c r="A10" s="45"/>
      <c r="B10" s="45"/>
      <c r="C10" s="45"/>
      <c r="D10" s="45"/>
      <c r="E10" s="45"/>
      <c r="F10" s="45"/>
      <c r="G10" s="45"/>
      <c r="H10" s="45"/>
      <c r="I10" s="45"/>
    </row>
    <row r="11" spans="1:9" ht="15.6" x14ac:dyDescent="0.3">
      <c r="A11" s="172" t="s">
        <v>125</v>
      </c>
      <c r="B11" s="172"/>
      <c r="C11" s="50">
        <f>'Additional Information'!E20</f>
        <v>8</v>
      </c>
      <c r="D11" s="45"/>
      <c r="E11" s="50">
        <f>'Additional Information'!E20</f>
        <v>8</v>
      </c>
      <c r="F11" s="45"/>
      <c r="G11" s="50">
        <f>'Additional Information'!E20</f>
        <v>8</v>
      </c>
      <c r="H11" s="45"/>
      <c r="I11" s="50">
        <f>'Additional Information'!E20</f>
        <v>8</v>
      </c>
    </row>
    <row r="12" spans="1:9" ht="15.6" x14ac:dyDescent="0.3">
      <c r="A12" s="172" t="s">
        <v>126</v>
      </c>
      <c r="B12" s="172"/>
      <c r="C12" s="58">
        <f>C9*C11</f>
        <v>864000</v>
      </c>
      <c r="D12" s="45"/>
      <c r="E12" s="58">
        <f>E9*E11</f>
        <v>1075200</v>
      </c>
      <c r="F12" s="45"/>
      <c r="G12" s="58">
        <f>G9*G11</f>
        <v>1118400</v>
      </c>
      <c r="H12" s="45"/>
      <c r="I12" s="58">
        <f>I9*I11</f>
        <v>3057600</v>
      </c>
    </row>
    <row r="13" spans="1:9" ht="15.6" x14ac:dyDescent="0.3">
      <c r="A13" s="45"/>
      <c r="B13" s="45"/>
      <c r="C13" s="45"/>
      <c r="D13" s="45"/>
      <c r="E13" s="45"/>
      <c r="F13" s="45"/>
      <c r="G13" s="45"/>
      <c r="H13" s="45"/>
      <c r="I13" s="71"/>
    </row>
    <row r="14" spans="1:9" ht="15.6" x14ac:dyDescent="0.3">
      <c r="A14" s="180" t="s">
        <v>56</v>
      </c>
      <c r="B14" s="172"/>
      <c r="C14" s="172"/>
      <c r="D14" s="172"/>
      <c r="E14" s="69">
        <v>0.2</v>
      </c>
      <c r="F14" s="45"/>
      <c r="G14" s="45"/>
      <c r="H14" s="45"/>
      <c r="I14" s="71"/>
    </row>
    <row r="15" spans="1:9" ht="15.6" x14ac:dyDescent="0.3">
      <c r="A15" s="45"/>
      <c r="B15" s="45"/>
      <c r="C15" s="45"/>
      <c r="D15" s="45"/>
      <c r="E15" s="45"/>
      <c r="F15" s="45"/>
      <c r="G15" s="45"/>
      <c r="H15" s="45"/>
      <c r="I15" s="71"/>
    </row>
    <row r="16" spans="1:9" ht="17.399999999999999" x14ac:dyDescent="0.35">
      <c r="A16" s="176" t="s">
        <v>113</v>
      </c>
      <c r="B16" s="176"/>
      <c r="C16" s="176"/>
      <c r="D16" s="176"/>
      <c r="E16" s="176"/>
    </row>
    <row r="17" spans="1:9" ht="15.6" x14ac:dyDescent="0.3">
      <c r="A17" s="45" t="s">
        <v>112</v>
      </c>
      <c r="B17" s="45"/>
      <c r="C17" s="65">
        <f>'Production Budget'!C15</f>
        <v>41000</v>
      </c>
      <c r="D17" s="45"/>
      <c r="E17" s="45"/>
      <c r="F17" s="45"/>
      <c r="G17" s="45"/>
      <c r="H17" s="45"/>
      <c r="I17" s="45"/>
    </row>
    <row r="18" spans="1:9" ht="15.6" x14ac:dyDescent="0.3">
      <c r="A18" s="172" t="s">
        <v>127</v>
      </c>
      <c r="B18" s="172"/>
      <c r="C18" s="65">
        <v>3</v>
      </c>
      <c r="D18" s="45"/>
      <c r="E18" s="45"/>
      <c r="F18" s="45"/>
      <c r="G18" s="45"/>
      <c r="H18" s="45"/>
      <c r="I18" s="45"/>
    </row>
    <row r="19" spans="1:9" ht="15.6" x14ac:dyDescent="0.3">
      <c r="A19" s="172" t="s">
        <v>128</v>
      </c>
      <c r="B19" s="172"/>
      <c r="C19" s="72">
        <f>C17*C18</f>
        <v>123000</v>
      </c>
      <c r="D19" s="45"/>
      <c r="E19" s="45"/>
      <c r="F19" s="45"/>
      <c r="G19" s="45"/>
      <c r="H19" s="45"/>
      <c r="I19" s="45"/>
    </row>
    <row r="20" spans="1:9" ht="15.6" x14ac:dyDescent="0.3">
      <c r="A20" s="45"/>
      <c r="B20" s="45"/>
      <c r="C20" s="45"/>
      <c r="D20" s="45"/>
      <c r="E20" s="45"/>
      <c r="F20" s="45"/>
      <c r="G20" s="45"/>
      <c r="H20" s="45"/>
      <c r="I20" s="45"/>
    </row>
    <row r="21" spans="1:9" ht="17.399999999999999" x14ac:dyDescent="0.35">
      <c r="A21" s="19" t="s">
        <v>115</v>
      </c>
    </row>
    <row r="22" spans="1:9" ht="15.6" x14ac:dyDescent="0.3">
      <c r="A22" s="180" t="s">
        <v>26</v>
      </c>
      <c r="B22" s="172"/>
      <c r="C22" s="73">
        <f>'2022 Balance Sheet'!E8</f>
        <v>163200</v>
      </c>
      <c r="D22" s="45"/>
      <c r="E22" s="58"/>
      <c r="F22" s="45"/>
      <c r="G22" s="45"/>
      <c r="H22" s="45"/>
      <c r="I22" s="45"/>
    </row>
    <row r="23" spans="1:9" ht="15.6" x14ac:dyDescent="0.3">
      <c r="A23" s="180" t="s">
        <v>57</v>
      </c>
      <c r="B23" s="172"/>
      <c r="C23" s="50">
        <f>'Additional Information'!E20</f>
        <v>8</v>
      </c>
      <c r="D23" s="45"/>
      <c r="E23" s="45"/>
      <c r="F23" s="45"/>
      <c r="G23" s="45"/>
      <c r="H23" s="45"/>
      <c r="I23" s="45"/>
    </row>
    <row r="24" spans="1:9" ht="15.6" x14ac:dyDescent="0.3">
      <c r="A24" s="172" t="s">
        <v>129</v>
      </c>
      <c r="B24" s="172"/>
      <c r="C24" s="70">
        <f>C22/C23</f>
        <v>20400</v>
      </c>
      <c r="D24" s="45"/>
      <c r="E24" s="45"/>
      <c r="F24" s="45"/>
      <c r="G24" s="45"/>
      <c r="H24" s="45"/>
      <c r="I24" s="45"/>
    </row>
  </sheetData>
  <mergeCells count="18">
    <mergeCell ref="A6:B6"/>
    <mergeCell ref="A12:B12"/>
    <mergeCell ref="A7:B7"/>
    <mergeCell ref="A8:B8"/>
    <mergeCell ref="A9:B9"/>
    <mergeCell ref="A11:B11"/>
    <mergeCell ref="A1:E1"/>
    <mergeCell ref="A2:B2"/>
    <mergeCell ref="A3:B3"/>
    <mergeCell ref="A4:B4"/>
    <mergeCell ref="A5:B5"/>
    <mergeCell ref="A23:B23"/>
    <mergeCell ref="A24:B24"/>
    <mergeCell ref="A14:D14"/>
    <mergeCell ref="A19:B19"/>
    <mergeCell ref="A16:E16"/>
    <mergeCell ref="A22:B22"/>
    <mergeCell ref="A18:B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9048-C05A-40D2-B7B0-65F393C4DEEA}">
  <dimension ref="A1:I19"/>
  <sheetViews>
    <sheetView workbookViewId="0">
      <selection activeCell="E17" sqref="E17"/>
    </sheetView>
  </sheetViews>
  <sheetFormatPr defaultRowHeight="14.4" x14ac:dyDescent="0.3"/>
  <cols>
    <col min="1" max="2" width="15.6640625" customWidth="1"/>
    <col min="3" max="3" width="19.109375" customWidth="1"/>
    <col min="4" max="4" width="2.6640625" customWidth="1"/>
    <col min="5" max="5" width="20.6640625" customWidth="1"/>
    <col min="6" max="6" width="2.6640625" customWidth="1"/>
    <col min="7" max="7" width="15.6640625" customWidth="1"/>
    <col min="8" max="8" width="2.6640625" customWidth="1"/>
    <col min="9" max="9" width="15.6640625" customWidth="1"/>
  </cols>
  <sheetData>
    <row r="1" spans="1:9" ht="23.4" x14ac:dyDescent="0.45">
      <c r="A1" s="170" t="s">
        <v>15</v>
      </c>
      <c r="B1" s="170"/>
      <c r="C1" s="170"/>
      <c r="D1" s="170"/>
      <c r="E1" s="170"/>
    </row>
    <row r="2" spans="1:9" ht="15.6" x14ac:dyDescent="0.3">
      <c r="A2" s="171"/>
      <c r="B2" s="171"/>
      <c r="C2" s="44" t="s">
        <v>43</v>
      </c>
      <c r="D2" s="45"/>
      <c r="E2" s="44" t="s">
        <v>44</v>
      </c>
      <c r="F2" s="45"/>
      <c r="G2" s="44" t="s">
        <v>45</v>
      </c>
      <c r="H2" s="45"/>
      <c r="I2" s="44" t="s">
        <v>80</v>
      </c>
    </row>
    <row r="3" spans="1:9" ht="15.6" x14ac:dyDescent="0.3">
      <c r="A3" s="173" t="s">
        <v>130</v>
      </c>
      <c r="B3" s="173"/>
      <c r="C3" s="52">
        <f>'2022 Balance Sheet'!E14</f>
        <v>571200</v>
      </c>
      <c r="D3" s="45"/>
      <c r="E3" s="53"/>
      <c r="F3" s="45"/>
      <c r="G3" s="53"/>
      <c r="H3" s="45"/>
      <c r="I3" s="52">
        <f>SUM(C3,E3,G3)</f>
        <v>571200</v>
      </c>
    </row>
    <row r="4" spans="1:9" ht="15.6" x14ac:dyDescent="0.3">
      <c r="A4" s="172" t="s">
        <v>131</v>
      </c>
      <c r="B4" s="172"/>
      <c r="C4" s="45"/>
      <c r="D4" s="45"/>
      <c r="E4" s="45"/>
      <c r="F4" s="45"/>
      <c r="G4" s="45"/>
      <c r="H4" s="45"/>
      <c r="I4" s="45"/>
    </row>
    <row r="5" spans="1:9" ht="15.6" x14ac:dyDescent="0.3">
      <c r="A5" s="174" t="s">
        <v>132</v>
      </c>
      <c r="B5" s="174"/>
      <c r="C5" s="58">
        <f>'Direct Mats Budget'!C12*'Additional Information'!E21</f>
        <v>259200</v>
      </c>
      <c r="D5" s="45"/>
      <c r="E5" s="45"/>
      <c r="F5" s="45"/>
      <c r="G5" s="45"/>
      <c r="H5" s="45"/>
      <c r="I5" s="58">
        <f>SUM(C5,E5,G5)</f>
        <v>259200</v>
      </c>
    </row>
    <row r="6" spans="1:9" ht="15.6" x14ac:dyDescent="0.3">
      <c r="A6" s="174" t="s">
        <v>133</v>
      </c>
      <c r="B6" s="174"/>
      <c r="C6" s="45"/>
      <c r="D6" s="45"/>
      <c r="E6" s="58">
        <f>'Direct Mats Budget'!C12*'Additional Information'!E22</f>
        <v>604800</v>
      </c>
      <c r="F6" s="45"/>
      <c r="G6" s="45"/>
      <c r="H6" s="45"/>
      <c r="I6" s="58">
        <f>SUM(C6,E6,G6)</f>
        <v>604800</v>
      </c>
    </row>
    <row r="7" spans="1:9" ht="15.6" x14ac:dyDescent="0.3">
      <c r="A7" s="172" t="s">
        <v>134</v>
      </c>
      <c r="B7" s="172"/>
      <c r="C7" s="45"/>
      <c r="D7" s="45"/>
      <c r="E7" s="45"/>
      <c r="F7" s="45"/>
      <c r="G7" s="45"/>
      <c r="H7" s="45"/>
      <c r="I7" s="45"/>
    </row>
    <row r="8" spans="1:9" ht="15.6" x14ac:dyDescent="0.3">
      <c r="A8" s="174" t="s">
        <v>135</v>
      </c>
      <c r="B8" s="174"/>
      <c r="C8" s="45"/>
      <c r="D8" s="45"/>
      <c r="E8" s="58">
        <f>'Direct Mats Budget'!E12*'Additional Information'!E21</f>
        <v>322560</v>
      </c>
      <c r="F8" s="45"/>
      <c r="G8" s="45"/>
      <c r="H8" s="45"/>
      <c r="I8" s="58">
        <f>SUM(C8,E8,G8)</f>
        <v>322560</v>
      </c>
    </row>
    <row r="9" spans="1:9" ht="15.6" x14ac:dyDescent="0.3">
      <c r="A9" s="174" t="s">
        <v>136</v>
      </c>
      <c r="B9" s="174"/>
      <c r="C9" s="45"/>
      <c r="D9" s="45"/>
      <c r="E9" s="45"/>
      <c r="F9" s="45"/>
      <c r="G9" s="58">
        <f>'Direct Mats Budget'!E12*'Additional Information'!E22</f>
        <v>752640</v>
      </c>
      <c r="H9" s="45"/>
      <c r="I9" s="58">
        <f>SUM(C9,E9,G9)</f>
        <v>752640</v>
      </c>
    </row>
    <row r="10" spans="1:9" ht="15.6" x14ac:dyDescent="0.3">
      <c r="A10" s="172" t="s">
        <v>137</v>
      </c>
      <c r="B10" s="172"/>
      <c r="C10" s="45"/>
      <c r="D10" s="45"/>
      <c r="E10" s="45"/>
      <c r="F10" s="45"/>
      <c r="G10" s="45"/>
      <c r="H10" s="45"/>
      <c r="I10" s="45"/>
    </row>
    <row r="11" spans="1:9" ht="15.6" x14ac:dyDescent="0.3">
      <c r="A11" s="174" t="s">
        <v>138</v>
      </c>
      <c r="B11" s="174"/>
      <c r="C11" s="45"/>
      <c r="D11" s="45"/>
      <c r="E11" s="45"/>
      <c r="F11" s="45"/>
      <c r="G11" s="58">
        <f>'Direct Mats Budget'!G12*'Additional Information'!E21</f>
        <v>335520</v>
      </c>
      <c r="H11" s="45"/>
      <c r="I11" s="58">
        <f>SUM(C11,E11,G11)</f>
        <v>335520</v>
      </c>
    </row>
    <row r="12" spans="1:9" ht="15.6" x14ac:dyDescent="0.3">
      <c r="A12" s="181" t="s">
        <v>139</v>
      </c>
      <c r="B12" s="181"/>
      <c r="C12" s="59">
        <f>SUM(C3,C5,C6,C8,C9,C11)</f>
        <v>830400</v>
      </c>
      <c r="D12" s="58"/>
      <c r="E12" s="59">
        <f t="shared" ref="E12:I12" si="0">SUM(E3,E5,E6,E8,E9,E11)</f>
        <v>927360</v>
      </c>
      <c r="F12" s="58"/>
      <c r="G12" s="59">
        <f t="shared" si="0"/>
        <v>1088160</v>
      </c>
      <c r="H12" s="58"/>
      <c r="I12" s="59">
        <f t="shared" si="0"/>
        <v>2845920</v>
      </c>
    </row>
    <row r="13" spans="1:9" ht="15.6" x14ac:dyDescent="0.3">
      <c r="A13" s="182"/>
      <c r="B13" s="182"/>
      <c r="C13" s="45"/>
      <c r="D13" s="45"/>
      <c r="E13" s="45"/>
      <c r="F13" s="45"/>
      <c r="G13" s="45"/>
      <c r="H13" s="45"/>
      <c r="I13" s="45"/>
    </row>
    <row r="14" spans="1:9" ht="15.6" x14ac:dyDescent="0.3">
      <c r="A14" s="51" t="s">
        <v>140</v>
      </c>
      <c r="B14" s="57"/>
      <c r="C14" s="45"/>
      <c r="D14" s="45"/>
      <c r="E14" s="45"/>
      <c r="F14" s="45"/>
      <c r="G14" s="45"/>
      <c r="H14" s="45"/>
      <c r="I14" s="45"/>
    </row>
    <row r="15" spans="1:9" ht="15.6" x14ac:dyDescent="0.3">
      <c r="A15" s="174" t="s">
        <v>141</v>
      </c>
      <c r="B15" s="174"/>
      <c r="C15" s="45"/>
      <c r="D15" s="45"/>
      <c r="E15" s="45"/>
      <c r="F15" s="45"/>
      <c r="G15" s="58">
        <f>'Direct Mats Budget'!G12*'Additional Information'!E22</f>
        <v>782880</v>
      </c>
      <c r="H15" s="45"/>
      <c r="I15" s="58">
        <f>G15</f>
        <v>782880</v>
      </c>
    </row>
    <row r="16" spans="1:9" ht="15.6" x14ac:dyDescent="0.3">
      <c r="A16" s="45"/>
      <c r="B16" s="45"/>
      <c r="C16" s="45"/>
      <c r="D16" s="45"/>
      <c r="E16" s="45"/>
      <c r="F16" s="45"/>
      <c r="G16" s="45"/>
      <c r="H16" s="45"/>
      <c r="I16" s="45"/>
    </row>
    <row r="17" spans="1:9" ht="15.6" x14ac:dyDescent="0.3">
      <c r="A17" s="45"/>
      <c r="B17" s="45"/>
      <c r="C17" s="45" t="s">
        <v>142</v>
      </c>
      <c r="D17" s="45"/>
      <c r="E17" s="45" t="s">
        <v>143</v>
      </c>
      <c r="F17" s="45"/>
      <c r="G17" s="45"/>
      <c r="H17" s="45"/>
      <c r="I17" s="45"/>
    </row>
    <row r="18" spans="1:9" ht="15.6" x14ac:dyDescent="0.3">
      <c r="A18" s="172" t="s">
        <v>144</v>
      </c>
      <c r="B18" s="172"/>
      <c r="C18" s="73">
        <f>'Direct Mats Budget'!I12</f>
        <v>3057600</v>
      </c>
      <c r="D18" s="45"/>
      <c r="E18" s="74">
        <f>SUM(C5,E6,E8,G9,G11,G15)</f>
        <v>3057600</v>
      </c>
      <c r="F18" s="45"/>
      <c r="G18" s="45"/>
      <c r="H18" s="45"/>
      <c r="I18" s="45"/>
    </row>
    <row r="19" spans="1:9" x14ac:dyDescent="0.3">
      <c r="A19" s="18"/>
    </row>
  </sheetData>
  <mergeCells count="15">
    <mergeCell ref="A18:B18"/>
    <mergeCell ref="A15:B15"/>
    <mergeCell ref="A12:B12"/>
    <mergeCell ref="A1:E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3:B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50B4-7CA1-4930-ACF2-922A75875A27}">
  <dimension ref="A1:I7"/>
  <sheetViews>
    <sheetView workbookViewId="0">
      <selection activeCell="A2" sqref="A2:I7"/>
    </sheetView>
  </sheetViews>
  <sheetFormatPr defaultRowHeight="14.4" x14ac:dyDescent="0.3"/>
  <cols>
    <col min="1" max="3" width="15.6640625" customWidth="1"/>
    <col min="4" max="4" width="2.6640625" customWidth="1"/>
    <col min="5" max="5" width="15.6640625" customWidth="1"/>
    <col min="6" max="6" width="2.6640625" customWidth="1"/>
    <col min="7" max="7" width="15.6640625" customWidth="1"/>
    <col min="8" max="8" width="2.6640625" customWidth="1"/>
    <col min="9" max="10" width="15.6640625" customWidth="1"/>
  </cols>
  <sheetData>
    <row r="1" spans="1:9" ht="23.4" x14ac:dyDescent="0.45">
      <c r="A1" s="170" t="s">
        <v>16</v>
      </c>
      <c r="B1" s="170"/>
      <c r="C1" s="170"/>
      <c r="D1" s="170"/>
      <c r="E1" s="170"/>
    </row>
    <row r="2" spans="1:9" ht="15.6" x14ac:dyDescent="0.3">
      <c r="A2" s="171"/>
      <c r="B2" s="171"/>
      <c r="C2" s="44" t="s">
        <v>43</v>
      </c>
      <c r="D2" s="45"/>
      <c r="E2" s="44" t="s">
        <v>44</v>
      </c>
      <c r="F2" s="45"/>
      <c r="G2" s="44" t="s">
        <v>45</v>
      </c>
      <c r="H2" s="45"/>
      <c r="I2" s="44" t="s">
        <v>80</v>
      </c>
    </row>
    <row r="3" spans="1:9" ht="15.6" x14ac:dyDescent="0.3">
      <c r="A3" s="172" t="s">
        <v>145</v>
      </c>
      <c r="B3" s="172"/>
      <c r="C3" s="65">
        <f>'Production Budget'!C7</f>
        <v>34000</v>
      </c>
      <c r="D3" s="45"/>
      <c r="E3" s="65">
        <f>'Production Budget'!E7</f>
        <v>44000</v>
      </c>
      <c r="F3" s="45"/>
      <c r="G3" s="65">
        <f>'Production Budget'!G7</f>
        <v>48000</v>
      </c>
      <c r="H3" s="45"/>
      <c r="I3" s="65">
        <f>SUM(C3,E3,G3)</f>
        <v>126000</v>
      </c>
    </row>
    <row r="4" spans="1:9" ht="15.6" x14ac:dyDescent="0.3">
      <c r="A4" s="172" t="s">
        <v>146</v>
      </c>
      <c r="B4" s="172"/>
      <c r="C4" s="45">
        <f>'Additional Information'!E23</f>
        <v>2</v>
      </c>
      <c r="D4" s="45"/>
      <c r="E4" s="45">
        <f>'Additional Information'!E23</f>
        <v>2</v>
      </c>
      <c r="F4" s="45"/>
      <c r="G4" s="45">
        <f>'Additional Information'!E23</f>
        <v>2</v>
      </c>
      <c r="H4" s="45"/>
      <c r="I4" s="45">
        <f>'Additional Information'!E23</f>
        <v>2</v>
      </c>
    </row>
    <row r="5" spans="1:9" ht="15.6" x14ac:dyDescent="0.3">
      <c r="A5" s="172" t="s">
        <v>147</v>
      </c>
      <c r="B5" s="172"/>
      <c r="C5" s="75">
        <f>C3*C4</f>
        <v>68000</v>
      </c>
      <c r="D5" s="45"/>
      <c r="E5" s="75">
        <f>E3*E4</f>
        <v>88000</v>
      </c>
      <c r="F5" s="45"/>
      <c r="G5" s="75">
        <f>G3*G4</f>
        <v>96000</v>
      </c>
      <c r="H5" s="45"/>
      <c r="I5" s="75">
        <f>I3*I4</f>
        <v>252000</v>
      </c>
    </row>
    <row r="6" spans="1:9" ht="15.6" x14ac:dyDescent="0.3">
      <c r="A6" s="172" t="s">
        <v>148</v>
      </c>
      <c r="B6" s="172"/>
      <c r="C6" s="50">
        <f>'Additional Information'!E24</f>
        <v>6</v>
      </c>
      <c r="D6" s="45"/>
      <c r="E6" s="50">
        <f>'Additional Information'!E24</f>
        <v>6</v>
      </c>
      <c r="F6" s="45"/>
      <c r="G6" s="50">
        <f>'Additional Information'!E24</f>
        <v>6</v>
      </c>
      <c r="H6" s="45"/>
      <c r="I6" s="50">
        <f>'Additional Information'!E24</f>
        <v>6</v>
      </c>
    </row>
    <row r="7" spans="1:9" ht="15.6" x14ac:dyDescent="0.3">
      <c r="A7" s="173" t="s">
        <v>149</v>
      </c>
      <c r="B7" s="173"/>
      <c r="C7" s="59">
        <f>C5*C6</f>
        <v>408000</v>
      </c>
      <c r="D7" s="58"/>
      <c r="E7" s="59">
        <f t="shared" ref="E7:I7" si="0">E5*E6</f>
        <v>528000</v>
      </c>
      <c r="F7" s="58"/>
      <c r="G7" s="59">
        <f t="shared" si="0"/>
        <v>576000</v>
      </c>
      <c r="H7" s="58"/>
      <c r="I7" s="59">
        <f t="shared" si="0"/>
        <v>1512000</v>
      </c>
    </row>
  </sheetData>
  <mergeCells count="7">
    <mergeCell ref="A7:B7"/>
    <mergeCell ref="A2:B2"/>
    <mergeCell ref="A1:E1"/>
    <mergeCell ref="A3:B3"/>
    <mergeCell ref="A4:B4"/>
    <mergeCell ref="A5:B5"/>
    <mergeCell ref="A6:B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9356-6B64-4D71-97F9-9978ACDAC0E4}">
  <dimension ref="A1:I12"/>
  <sheetViews>
    <sheetView workbookViewId="0">
      <selection activeCell="A2" sqref="A2:I12"/>
    </sheetView>
  </sheetViews>
  <sheetFormatPr defaultRowHeight="14.4" x14ac:dyDescent="0.3"/>
  <cols>
    <col min="1" max="3" width="15.6640625" customWidth="1"/>
    <col min="4" max="4" width="2.6640625" customWidth="1"/>
    <col min="5" max="5" width="15.6640625" customWidth="1"/>
    <col min="6" max="6" width="2.6640625" customWidth="1"/>
    <col min="7" max="7" width="15.6640625" customWidth="1"/>
    <col min="8" max="8" width="2.6640625" customWidth="1"/>
    <col min="9" max="9" width="15.6640625" customWidth="1"/>
  </cols>
  <sheetData>
    <row r="1" spans="1:9" ht="23.4" x14ac:dyDescent="0.45">
      <c r="A1" s="170" t="s">
        <v>17</v>
      </c>
      <c r="B1" s="170"/>
      <c r="C1" s="170"/>
      <c r="D1" s="170"/>
      <c r="E1" s="170"/>
      <c r="F1" s="170"/>
    </row>
    <row r="2" spans="1:9" ht="15.6" x14ac:dyDescent="0.3">
      <c r="A2" s="171"/>
      <c r="B2" s="171"/>
      <c r="C2" s="44" t="s">
        <v>43</v>
      </c>
      <c r="D2" s="45"/>
      <c r="E2" s="44" t="s">
        <v>44</v>
      </c>
      <c r="F2" s="45"/>
      <c r="G2" s="44" t="s">
        <v>45</v>
      </c>
      <c r="H2" s="45"/>
      <c r="I2" s="44" t="s">
        <v>80</v>
      </c>
    </row>
    <row r="3" spans="1:9" ht="15.6" x14ac:dyDescent="0.3">
      <c r="A3" s="172" t="s">
        <v>150</v>
      </c>
      <c r="B3" s="172"/>
      <c r="C3" s="65">
        <f>'Direct Labor Budget'!C5</f>
        <v>68000</v>
      </c>
      <c r="D3" s="45"/>
      <c r="E3" s="65">
        <f>'Direct Labor Budget'!E5</f>
        <v>88000</v>
      </c>
      <c r="F3" s="45"/>
      <c r="G3" s="65">
        <f>'Direct Labor Budget'!G5</f>
        <v>96000</v>
      </c>
      <c r="H3" s="45"/>
      <c r="I3" s="65">
        <f>'Direct Labor Budget'!I5</f>
        <v>252000</v>
      </c>
    </row>
    <row r="4" spans="1:9" ht="15.6" x14ac:dyDescent="0.3">
      <c r="A4" s="172" t="s">
        <v>151</v>
      </c>
      <c r="B4" s="172"/>
      <c r="C4" s="50">
        <f>'Additional Information'!E26</f>
        <v>2</v>
      </c>
      <c r="D4" s="45"/>
      <c r="E4" s="50">
        <f>'Additional Information'!E26</f>
        <v>2</v>
      </c>
      <c r="F4" s="45"/>
      <c r="G4" s="50">
        <f>'Additional Information'!E26</f>
        <v>2</v>
      </c>
      <c r="H4" s="45"/>
      <c r="I4" s="50">
        <f>'Additional Information'!E26</f>
        <v>2</v>
      </c>
    </row>
    <row r="5" spans="1:9" ht="15.6" x14ac:dyDescent="0.3">
      <c r="A5" s="172" t="s">
        <v>152</v>
      </c>
      <c r="B5" s="172"/>
      <c r="C5" s="76">
        <f>C3*C4</f>
        <v>136000</v>
      </c>
      <c r="D5" s="58"/>
      <c r="E5" s="76">
        <f t="shared" ref="E5:I5" si="0">E3*E4</f>
        <v>176000</v>
      </c>
      <c r="F5" s="58"/>
      <c r="G5" s="76">
        <f t="shared" si="0"/>
        <v>192000</v>
      </c>
      <c r="H5" s="58"/>
      <c r="I5" s="76">
        <f t="shared" si="0"/>
        <v>504000</v>
      </c>
    </row>
    <row r="6" spans="1:9" ht="15.6" x14ac:dyDescent="0.3">
      <c r="A6" s="172" t="s">
        <v>153</v>
      </c>
      <c r="B6" s="172"/>
      <c r="C6" s="58">
        <f>'Additional Information'!E27</f>
        <v>200000</v>
      </c>
      <c r="D6" s="45"/>
      <c r="E6" s="58">
        <f>'Additional Information'!E27</f>
        <v>200000</v>
      </c>
      <c r="F6" s="45"/>
      <c r="G6" s="58">
        <f>'Additional Information'!E27</f>
        <v>200000</v>
      </c>
      <c r="H6" s="45"/>
      <c r="I6" s="58">
        <f>SUM(C6,E6,G6)</f>
        <v>600000</v>
      </c>
    </row>
    <row r="7" spans="1:9" ht="15.6" x14ac:dyDescent="0.3">
      <c r="A7" s="172" t="s">
        <v>154</v>
      </c>
      <c r="B7" s="172"/>
      <c r="C7" s="76">
        <f>C5+C6</f>
        <v>336000</v>
      </c>
      <c r="D7" s="58"/>
      <c r="E7" s="76">
        <f t="shared" ref="E7:I7" si="1">E5+E6</f>
        <v>376000</v>
      </c>
      <c r="F7" s="58"/>
      <c r="G7" s="76">
        <f t="shared" si="1"/>
        <v>392000</v>
      </c>
      <c r="H7" s="58"/>
      <c r="I7" s="76">
        <f t="shared" si="1"/>
        <v>1104000</v>
      </c>
    </row>
    <row r="8" spans="1:9" ht="15.6" x14ac:dyDescent="0.3">
      <c r="A8" s="172" t="s">
        <v>155</v>
      </c>
      <c r="B8" s="172"/>
      <c r="C8" s="58">
        <f>'Additional Information'!E28</f>
        <v>25000</v>
      </c>
      <c r="D8" s="45"/>
      <c r="E8" s="58">
        <f>'Additional Information'!E28</f>
        <v>25000</v>
      </c>
      <c r="F8" s="45"/>
      <c r="G8" s="58">
        <f>'Additional Information'!E28</f>
        <v>25000</v>
      </c>
      <c r="H8" s="45"/>
      <c r="I8" s="58">
        <f>SUM(C8,E8,G8)</f>
        <v>75000</v>
      </c>
    </row>
    <row r="9" spans="1:9" ht="15.6" x14ac:dyDescent="0.3">
      <c r="A9" s="173" t="s">
        <v>156</v>
      </c>
      <c r="B9" s="173"/>
      <c r="C9" s="59">
        <f>C7-C8</f>
        <v>311000</v>
      </c>
      <c r="D9" s="77"/>
      <c r="E9" s="59">
        <f t="shared" ref="E9:I9" si="2">E7-E8</f>
        <v>351000</v>
      </c>
      <c r="F9" s="77"/>
      <c r="G9" s="59">
        <f t="shared" si="2"/>
        <v>367000</v>
      </c>
      <c r="H9" s="77"/>
      <c r="I9" s="59">
        <f t="shared" si="2"/>
        <v>1029000</v>
      </c>
    </row>
    <row r="10" spans="1:9" ht="15.6" x14ac:dyDescent="0.3">
      <c r="A10" s="45"/>
      <c r="B10" s="45"/>
      <c r="C10" s="45"/>
      <c r="D10" s="45"/>
      <c r="E10" s="45"/>
      <c r="F10" s="45"/>
      <c r="G10" s="45"/>
      <c r="H10" s="45"/>
      <c r="I10" s="45"/>
    </row>
    <row r="11" spans="1:9" ht="15.6" x14ac:dyDescent="0.3">
      <c r="A11" s="45"/>
      <c r="B11" s="45"/>
      <c r="C11" s="45"/>
      <c r="D11" s="45"/>
      <c r="E11" s="45"/>
      <c r="F11" s="45"/>
      <c r="G11" s="45"/>
      <c r="H11" s="45"/>
      <c r="I11" s="45"/>
    </row>
    <row r="12" spans="1:9" ht="15.6" x14ac:dyDescent="0.3">
      <c r="A12" s="172" t="s">
        <v>157</v>
      </c>
      <c r="B12" s="172"/>
      <c r="C12" s="78">
        <f>I7/I3</f>
        <v>4.3809523809523814</v>
      </c>
      <c r="D12" s="45"/>
      <c r="E12" s="45"/>
      <c r="F12" s="45"/>
      <c r="G12" s="45"/>
      <c r="H12" s="45"/>
      <c r="I12" s="45"/>
    </row>
  </sheetData>
  <mergeCells count="10">
    <mergeCell ref="A12:B12"/>
    <mergeCell ref="A6:B6"/>
    <mergeCell ref="A7:B7"/>
    <mergeCell ref="A8:B8"/>
    <mergeCell ref="A9:B9"/>
    <mergeCell ref="A1:F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2E77-DC57-41B9-B6C8-3E5357B8BADC}">
  <dimension ref="A1:I9"/>
  <sheetViews>
    <sheetView workbookViewId="0">
      <selection activeCell="A2" sqref="A2:I9"/>
    </sheetView>
  </sheetViews>
  <sheetFormatPr defaultRowHeight="14.4" x14ac:dyDescent="0.3"/>
  <cols>
    <col min="1" max="3" width="15.6640625" customWidth="1"/>
    <col min="4" max="4" width="2.6640625" customWidth="1"/>
    <col min="5" max="5" width="15.6640625" customWidth="1"/>
    <col min="6" max="6" width="2.6640625" customWidth="1"/>
    <col min="7" max="7" width="15.6640625" customWidth="1"/>
    <col min="8" max="8" width="2.6640625" customWidth="1"/>
    <col min="9" max="9" width="15.6640625" customWidth="1"/>
  </cols>
  <sheetData>
    <row r="1" spans="1:9" ht="23.4" x14ac:dyDescent="0.45">
      <c r="A1" s="170" t="s">
        <v>158</v>
      </c>
      <c r="B1" s="170"/>
      <c r="C1" s="170"/>
      <c r="D1" s="170"/>
      <c r="E1" s="170"/>
      <c r="F1" s="170"/>
    </row>
    <row r="2" spans="1:9" ht="15.6" x14ac:dyDescent="0.3">
      <c r="A2" s="171"/>
      <c r="B2" s="171"/>
      <c r="C2" s="44" t="s">
        <v>43</v>
      </c>
      <c r="D2" s="45"/>
      <c r="E2" s="44" t="s">
        <v>44</v>
      </c>
      <c r="F2" s="45"/>
      <c r="G2" s="44" t="s">
        <v>45</v>
      </c>
      <c r="H2" s="45"/>
      <c r="I2" s="44" t="s">
        <v>80</v>
      </c>
    </row>
    <row r="3" spans="1:9" ht="15.6" x14ac:dyDescent="0.3">
      <c r="A3" s="172" t="s">
        <v>108</v>
      </c>
      <c r="B3" s="172"/>
      <c r="C3" s="47">
        <f>'Sales Budget'!C3</f>
        <v>30000</v>
      </c>
      <c r="D3" s="55"/>
      <c r="E3" s="47">
        <f>'Sales Budget'!E3</f>
        <v>40000</v>
      </c>
      <c r="F3" s="55"/>
      <c r="G3" s="47">
        <f>'Sales Budget'!G3</f>
        <v>50000</v>
      </c>
      <c r="H3" s="55"/>
      <c r="I3" s="47">
        <f>SUM(C3,E3,G3)</f>
        <v>120000</v>
      </c>
    </row>
    <row r="4" spans="1:9" ht="15.6" x14ac:dyDescent="0.3">
      <c r="A4" s="172" t="s">
        <v>159</v>
      </c>
      <c r="B4" s="172"/>
      <c r="C4" s="49">
        <f>'Additional Information'!E30</f>
        <v>2</v>
      </c>
      <c r="D4" s="55"/>
      <c r="E4" s="49">
        <f>'Additional Information'!E30</f>
        <v>2</v>
      </c>
      <c r="F4" s="55"/>
      <c r="G4" s="49">
        <f>'Additional Information'!E30</f>
        <v>2</v>
      </c>
      <c r="H4" s="55"/>
      <c r="I4" s="49">
        <f>'Additional Information'!E30</f>
        <v>2</v>
      </c>
    </row>
    <row r="5" spans="1:9" ht="15.6" x14ac:dyDescent="0.3">
      <c r="A5" s="172" t="s">
        <v>160</v>
      </c>
      <c r="B5" s="172"/>
      <c r="C5" s="79">
        <f>C3*C4</f>
        <v>60000</v>
      </c>
      <c r="D5" s="55"/>
      <c r="E5" s="79">
        <f>E3*E4</f>
        <v>80000</v>
      </c>
      <c r="F5" s="55"/>
      <c r="G5" s="79">
        <f>G3*G4</f>
        <v>100000</v>
      </c>
      <c r="H5" s="55"/>
      <c r="I5" s="79">
        <f>I3*I4</f>
        <v>240000</v>
      </c>
    </row>
    <row r="6" spans="1:9" ht="15.6" x14ac:dyDescent="0.3">
      <c r="A6" s="172" t="s">
        <v>161</v>
      </c>
      <c r="B6" s="172"/>
      <c r="C6" s="80">
        <f>'Additional Information'!E31</f>
        <v>120000</v>
      </c>
      <c r="D6" s="55"/>
      <c r="E6" s="80">
        <f>'Additional Information'!E31</f>
        <v>120000</v>
      </c>
      <c r="F6" s="55"/>
      <c r="G6" s="80">
        <f>'Additional Information'!E31</f>
        <v>120000</v>
      </c>
      <c r="H6" s="55"/>
      <c r="I6" s="80">
        <f>SUM(C6,E6,G6)</f>
        <v>360000</v>
      </c>
    </row>
    <row r="7" spans="1:9" ht="15.6" x14ac:dyDescent="0.3">
      <c r="A7" s="172" t="s">
        <v>162</v>
      </c>
      <c r="B7" s="172"/>
      <c r="C7" s="79">
        <f>SUM(C5,C6)</f>
        <v>180000</v>
      </c>
      <c r="D7" s="55"/>
      <c r="E7" s="79">
        <f>SUM(E5,E6)</f>
        <v>200000</v>
      </c>
      <c r="F7" s="55"/>
      <c r="G7" s="79">
        <f>SUM(G5,G6)</f>
        <v>220000</v>
      </c>
      <c r="H7" s="55"/>
      <c r="I7" s="79">
        <f>SUM(I5,I6)</f>
        <v>600000</v>
      </c>
    </row>
    <row r="8" spans="1:9" ht="15.6" x14ac:dyDescent="0.3">
      <c r="A8" s="172" t="s">
        <v>163</v>
      </c>
      <c r="B8" s="172"/>
      <c r="C8" s="80">
        <f>'Additional Information'!E32</f>
        <v>20000</v>
      </c>
      <c r="D8" s="55"/>
      <c r="E8" s="80">
        <f>'Additional Information'!E32</f>
        <v>20000</v>
      </c>
      <c r="F8" s="55"/>
      <c r="G8" s="80">
        <f>'Additional Information'!E32</f>
        <v>20000</v>
      </c>
      <c r="H8" s="55"/>
      <c r="I8" s="80">
        <f>SUM(C8,E8,G8)</f>
        <v>60000</v>
      </c>
    </row>
    <row r="9" spans="1:9" ht="15.6" x14ac:dyDescent="0.3">
      <c r="A9" s="173" t="s">
        <v>164</v>
      </c>
      <c r="B9" s="173"/>
      <c r="C9" s="81">
        <f>C7-C8</f>
        <v>160000</v>
      </c>
      <c r="D9" s="60"/>
      <c r="E9" s="81">
        <f>E7-E8</f>
        <v>180000</v>
      </c>
      <c r="F9" s="60"/>
      <c r="G9" s="81">
        <f>G7-G8</f>
        <v>200000</v>
      </c>
      <c r="H9" s="60"/>
      <c r="I9" s="81">
        <f>I7-I8</f>
        <v>540000</v>
      </c>
    </row>
  </sheetData>
  <mergeCells count="9">
    <mergeCell ref="A6:B6"/>
    <mergeCell ref="A7:B7"/>
    <mergeCell ref="A8:B8"/>
    <mergeCell ref="A9:B9"/>
    <mergeCell ref="A1:F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F28C-CE46-47AA-8B67-51C3E113270C}">
  <dimension ref="A1:G12"/>
  <sheetViews>
    <sheetView workbookViewId="0">
      <selection activeCell="A2" sqref="A2:G12"/>
    </sheetView>
  </sheetViews>
  <sheetFormatPr defaultRowHeight="14.4" x14ac:dyDescent="0.3"/>
  <cols>
    <col min="1" max="4" width="15.6640625" customWidth="1"/>
    <col min="5" max="5" width="4.44140625" bestFit="1" customWidth="1"/>
    <col min="6" max="7" width="15.6640625" customWidth="1"/>
    <col min="9" max="12" width="9.109375" customWidth="1"/>
  </cols>
  <sheetData>
    <row r="1" spans="1:7" ht="23.4" x14ac:dyDescent="0.45">
      <c r="A1" s="183" t="s">
        <v>165</v>
      </c>
      <c r="B1" s="183"/>
      <c r="C1" s="183"/>
      <c r="D1" s="183"/>
      <c r="E1" s="183"/>
      <c r="F1" s="183"/>
    </row>
    <row r="2" spans="1:7" ht="15.6" x14ac:dyDescent="0.3">
      <c r="A2" s="45"/>
      <c r="B2" s="45"/>
      <c r="C2" s="45"/>
      <c r="D2" s="45"/>
      <c r="E2" s="45"/>
      <c r="F2" s="45"/>
      <c r="G2" s="45"/>
    </row>
    <row r="3" spans="1:7" ht="15.6" x14ac:dyDescent="0.3">
      <c r="A3" s="173" t="s">
        <v>166</v>
      </c>
      <c r="B3" s="173"/>
      <c r="C3" s="173"/>
      <c r="D3" s="82" t="s">
        <v>167</v>
      </c>
      <c r="E3" s="53"/>
      <c r="F3" s="82" t="s">
        <v>168</v>
      </c>
      <c r="G3" s="82" t="s">
        <v>95</v>
      </c>
    </row>
    <row r="4" spans="1:7" ht="15.6" x14ac:dyDescent="0.3">
      <c r="A4" s="174" t="s">
        <v>169</v>
      </c>
      <c r="B4" s="174"/>
      <c r="C4" s="174"/>
      <c r="D4" s="55">
        <f>'Additional Information'!E18</f>
        <v>3</v>
      </c>
      <c r="E4" s="55" t="s">
        <v>170</v>
      </c>
      <c r="F4" s="83">
        <f>'Additional Information'!E20</f>
        <v>8</v>
      </c>
      <c r="G4" s="84">
        <f>D4*F4</f>
        <v>24</v>
      </c>
    </row>
    <row r="5" spans="1:7" ht="15.6" x14ac:dyDescent="0.3">
      <c r="A5" s="174" t="s">
        <v>171</v>
      </c>
      <c r="B5" s="174"/>
      <c r="C5" s="174"/>
      <c r="D5" s="55">
        <f>'Additional Information'!E23</f>
        <v>2</v>
      </c>
      <c r="E5" s="55" t="s">
        <v>172</v>
      </c>
      <c r="F5" s="83">
        <f>'Additional Information'!E24</f>
        <v>6</v>
      </c>
      <c r="G5" s="84">
        <f>D5*F5</f>
        <v>12</v>
      </c>
    </row>
    <row r="6" spans="1:7" ht="15.6" x14ac:dyDescent="0.3">
      <c r="A6" s="174" t="s">
        <v>173</v>
      </c>
      <c r="B6" s="174"/>
      <c r="C6" s="174"/>
      <c r="D6" s="55">
        <f>'Ending Finished Goods Inventory'!D5</f>
        <v>2</v>
      </c>
      <c r="E6" s="55" t="s">
        <v>172</v>
      </c>
      <c r="F6" s="85">
        <f>'Mfg OH Budget'!C12</f>
        <v>4.3809523809523814</v>
      </c>
      <c r="G6" s="84">
        <f>D6*F6</f>
        <v>8.7619047619047628</v>
      </c>
    </row>
    <row r="7" spans="1:7" ht="15.6" x14ac:dyDescent="0.3">
      <c r="A7" s="45"/>
      <c r="B7" s="45"/>
      <c r="C7" s="45"/>
      <c r="D7" s="45"/>
      <c r="E7" s="45"/>
      <c r="F7" s="45"/>
      <c r="G7" s="86">
        <f>SUM(G4:G6)</f>
        <v>44.761904761904759</v>
      </c>
    </row>
    <row r="8" spans="1:7" ht="15.6" x14ac:dyDescent="0.3">
      <c r="A8" s="173" t="s">
        <v>174</v>
      </c>
      <c r="B8" s="173"/>
      <c r="C8" s="173"/>
      <c r="D8" s="173"/>
      <c r="E8" s="45"/>
      <c r="F8" s="45"/>
      <c r="G8" s="45"/>
    </row>
    <row r="9" spans="1:7" ht="15.6" x14ac:dyDescent="0.3">
      <c r="A9" s="174" t="s">
        <v>175</v>
      </c>
      <c r="B9" s="174"/>
      <c r="C9" s="174"/>
      <c r="D9" s="45"/>
      <c r="E9" s="45"/>
      <c r="F9" s="45"/>
      <c r="G9" s="70">
        <f>'Production Budget'!I4</f>
        <v>18000</v>
      </c>
    </row>
    <row r="10" spans="1:7" ht="15.6" x14ac:dyDescent="0.3">
      <c r="A10" s="174" t="s">
        <v>176</v>
      </c>
      <c r="B10" s="174"/>
      <c r="C10" s="174"/>
      <c r="D10" s="45"/>
      <c r="E10" s="45"/>
      <c r="F10" s="45"/>
      <c r="G10" s="71">
        <f>G7</f>
        <v>44.761904761904759</v>
      </c>
    </row>
    <row r="11" spans="1:7" ht="15.6" x14ac:dyDescent="0.3">
      <c r="A11" s="174" t="s">
        <v>177</v>
      </c>
      <c r="B11" s="174"/>
      <c r="C11" s="174"/>
      <c r="D11" s="45"/>
      <c r="E11" s="45"/>
      <c r="F11" s="45"/>
      <c r="G11" s="80">
        <f>G9*G10</f>
        <v>805714.28571428568</v>
      </c>
    </row>
    <row r="12" spans="1:7" ht="15.6" x14ac:dyDescent="0.3">
      <c r="A12" s="45"/>
      <c r="B12" s="45"/>
      <c r="C12" s="45"/>
      <c r="D12" s="45"/>
      <c r="E12" s="45"/>
      <c r="F12" s="45"/>
      <c r="G12" s="45"/>
    </row>
  </sheetData>
  <mergeCells count="9">
    <mergeCell ref="A8:D8"/>
    <mergeCell ref="A9:C9"/>
    <mergeCell ref="A10:C10"/>
    <mergeCell ref="A11:C11"/>
    <mergeCell ref="A1:F1"/>
    <mergeCell ref="A3:C3"/>
    <mergeCell ref="A4:C4"/>
    <mergeCell ref="A5:C5"/>
    <mergeCell ref="A6:C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B3C3-15BF-43BD-B394-9C5D31D932C3}">
  <dimension ref="A1:I20"/>
  <sheetViews>
    <sheetView workbookViewId="0">
      <selection activeCell="A2" sqref="A2:I20"/>
    </sheetView>
  </sheetViews>
  <sheetFormatPr defaultRowHeight="14.4" x14ac:dyDescent="0.3"/>
  <cols>
    <col min="1" max="3" width="15.6640625" customWidth="1"/>
    <col min="4" max="4" width="2.6640625" customWidth="1"/>
    <col min="5" max="5" width="15.6640625" customWidth="1"/>
    <col min="6" max="6" width="2.6640625" customWidth="1"/>
    <col min="7" max="7" width="15.6640625" customWidth="1"/>
    <col min="8" max="8" width="2.6640625" customWidth="1"/>
    <col min="9" max="9" width="15.6640625" customWidth="1"/>
    <col min="11" max="18" width="9.109375" customWidth="1"/>
  </cols>
  <sheetData>
    <row r="1" spans="1:9" ht="23.4" x14ac:dyDescent="0.45">
      <c r="A1" s="184" t="s">
        <v>19</v>
      </c>
      <c r="B1" s="184"/>
      <c r="C1" s="184"/>
      <c r="D1" s="184"/>
      <c r="E1" s="184"/>
    </row>
    <row r="2" spans="1:9" ht="15.6" x14ac:dyDescent="0.3">
      <c r="A2" s="171"/>
      <c r="B2" s="171"/>
      <c r="C2" s="44" t="s">
        <v>43</v>
      </c>
      <c r="D2" s="45"/>
      <c r="E2" s="44" t="s">
        <v>44</v>
      </c>
      <c r="F2" s="45"/>
      <c r="G2" s="44" t="s">
        <v>45</v>
      </c>
      <c r="H2" s="45"/>
      <c r="I2" s="44" t="s">
        <v>80</v>
      </c>
    </row>
    <row r="3" spans="1:9" ht="15.6" x14ac:dyDescent="0.3">
      <c r="A3" s="172" t="s">
        <v>178</v>
      </c>
      <c r="B3" s="172"/>
      <c r="C3" s="80">
        <f>'2022 Balance Sheet'!E6</f>
        <v>110000</v>
      </c>
      <c r="D3" s="55"/>
      <c r="E3" s="80">
        <f>C20</f>
        <v>50600</v>
      </c>
      <c r="F3" s="55"/>
      <c r="G3" s="80">
        <f>E20</f>
        <v>53040</v>
      </c>
      <c r="H3" s="55"/>
      <c r="I3" s="80">
        <f>C3</f>
        <v>110000</v>
      </c>
    </row>
    <row r="4" spans="1:9" ht="15.6" x14ac:dyDescent="0.3">
      <c r="A4" s="172" t="s">
        <v>179</v>
      </c>
      <c r="B4" s="172"/>
      <c r="C4" s="87">
        <f>'Expected Cash Collections'!C13</f>
        <v>1890000</v>
      </c>
      <c r="D4" s="55"/>
      <c r="E4" s="87">
        <f>'Expected Cash Collections'!E13</f>
        <v>2040000</v>
      </c>
      <c r="F4" s="55"/>
      <c r="G4" s="87">
        <f>'Expected Cash Collections'!G13</f>
        <v>2460000</v>
      </c>
      <c r="H4" s="55"/>
      <c r="I4" s="87">
        <f>SUM(C4,E4,G4)</f>
        <v>6390000</v>
      </c>
    </row>
    <row r="5" spans="1:9" ht="15.6" x14ac:dyDescent="0.3">
      <c r="A5" s="172" t="s">
        <v>180</v>
      </c>
      <c r="B5" s="172"/>
      <c r="C5" s="87">
        <f>C3+C4</f>
        <v>2000000</v>
      </c>
      <c r="D5" s="55"/>
      <c r="E5" s="87">
        <f>E3+E4</f>
        <v>2090600</v>
      </c>
      <c r="F5" s="55"/>
      <c r="G5" s="87">
        <f>G3+G4</f>
        <v>2513040</v>
      </c>
      <c r="H5" s="55"/>
      <c r="I5" s="87">
        <f>I3+I4</f>
        <v>6500000</v>
      </c>
    </row>
    <row r="6" spans="1:9" ht="15.6" x14ac:dyDescent="0.3">
      <c r="A6" s="172" t="s">
        <v>181</v>
      </c>
      <c r="B6" s="172"/>
      <c r="C6" s="55"/>
      <c r="D6" s="55"/>
      <c r="E6" s="55"/>
      <c r="F6" s="55"/>
      <c r="G6" s="55"/>
      <c r="H6" s="55"/>
      <c r="I6" s="55"/>
    </row>
    <row r="7" spans="1:9" ht="15.6" x14ac:dyDescent="0.3">
      <c r="A7" s="174" t="s">
        <v>182</v>
      </c>
      <c r="B7" s="174"/>
      <c r="C7" s="80">
        <f>'Cash Disbursement Mats'!C12</f>
        <v>830400</v>
      </c>
      <c r="D7" s="55"/>
      <c r="E7" s="80">
        <f>'Cash Disbursement Mats'!E12</f>
        <v>927360</v>
      </c>
      <c r="F7" s="55"/>
      <c r="G7" s="80">
        <f>'Cash Disbursement Mats'!G12</f>
        <v>1088160</v>
      </c>
      <c r="H7" s="55"/>
      <c r="I7" s="80">
        <f t="shared" ref="I7:I12" si="0">SUM(C7,E7,G7)</f>
        <v>2845920</v>
      </c>
    </row>
    <row r="8" spans="1:9" ht="15.6" x14ac:dyDescent="0.3">
      <c r="A8" s="174" t="s">
        <v>171</v>
      </c>
      <c r="B8" s="174"/>
      <c r="C8" s="80">
        <f>'Direct Labor Budget'!C7</f>
        <v>408000</v>
      </c>
      <c r="D8" s="55"/>
      <c r="E8" s="80">
        <f>'Direct Labor Budget'!E7</f>
        <v>528000</v>
      </c>
      <c r="F8" s="55"/>
      <c r="G8" s="80">
        <f>'Direct Labor Budget'!G7</f>
        <v>576000</v>
      </c>
      <c r="H8" s="55"/>
      <c r="I8" s="80">
        <f t="shared" si="0"/>
        <v>1512000</v>
      </c>
    </row>
    <row r="9" spans="1:9" ht="15.6" x14ac:dyDescent="0.3">
      <c r="A9" s="174" t="s">
        <v>173</v>
      </c>
      <c r="B9" s="174"/>
      <c r="C9" s="80">
        <f>'Mfg OH Budget'!C9</f>
        <v>311000</v>
      </c>
      <c r="D9" s="55"/>
      <c r="E9" s="80">
        <f>'Mfg OH Budget'!E9</f>
        <v>351000</v>
      </c>
      <c r="F9" s="55"/>
      <c r="G9" s="80">
        <f>'Mfg OH Budget'!G9</f>
        <v>367000</v>
      </c>
      <c r="H9" s="55"/>
      <c r="I9" s="80">
        <f t="shared" si="0"/>
        <v>1029000</v>
      </c>
    </row>
    <row r="10" spans="1:9" ht="15.6" x14ac:dyDescent="0.3">
      <c r="A10" s="174" t="s">
        <v>183</v>
      </c>
      <c r="B10" s="174"/>
      <c r="C10" s="80">
        <f>'Selling Admin Budget'!C9</f>
        <v>160000</v>
      </c>
      <c r="D10" s="55"/>
      <c r="E10" s="80">
        <f>'Selling Admin Budget'!E9</f>
        <v>180000</v>
      </c>
      <c r="F10" s="55"/>
      <c r="G10" s="80">
        <f>'Selling Admin Budget'!G9</f>
        <v>200000</v>
      </c>
      <c r="H10" s="55"/>
      <c r="I10" s="80">
        <f t="shared" si="0"/>
        <v>540000</v>
      </c>
    </row>
    <row r="11" spans="1:9" ht="15.6" x14ac:dyDescent="0.3">
      <c r="A11" s="174" t="s">
        <v>184</v>
      </c>
      <c r="B11" s="174"/>
      <c r="C11" s="80">
        <f>'Additional Information'!E34</f>
        <v>300000</v>
      </c>
      <c r="D11" s="55"/>
      <c r="E11" s="80"/>
      <c r="F11" s="55"/>
      <c r="G11" s="80"/>
      <c r="H11" s="55"/>
      <c r="I11" s="80">
        <f t="shared" si="0"/>
        <v>300000</v>
      </c>
    </row>
    <row r="12" spans="1:9" ht="15.6" x14ac:dyDescent="0.3">
      <c r="A12" s="174" t="s">
        <v>185</v>
      </c>
      <c r="B12" s="174"/>
      <c r="C12" s="80"/>
      <c r="D12" s="55"/>
      <c r="E12" s="80"/>
      <c r="F12" s="55"/>
      <c r="G12" s="80">
        <f>'Additional Information'!E35</f>
        <v>150000</v>
      </c>
      <c r="H12" s="55"/>
      <c r="I12" s="80">
        <f t="shared" si="0"/>
        <v>150000</v>
      </c>
    </row>
    <row r="13" spans="1:9" ht="15.6" x14ac:dyDescent="0.3">
      <c r="A13" s="172" t="s">
        <v>186</v>
      </c>
      <c r="B13" s="172"/>
      <c r="C13" s="88">
        <f>SUM(C7:C12)</f>
        <v>2009400</v>
      </c>
      <c r="D13" s="55"/>
      <c r="E13" s="88">
        <f>SUM(E7:E12)</f>
        <v>1986360</v>
      </c>
      <c r="F13" s="55"/>
      <c r="G13" s="88">
        <f>SUM(G7:G12)</f>
        <v>2381160</v>
      </c>
      <c r="H13" s="55"/>
      <c r="I13" s="88">
        <f>SUM(I7:I12)</f>
        <v>6376920</v>
      </c>
    </row>
    <row r="14" spans="1:9" ht="15.6" x14ac:dyDescent="0.3">
      <c r="A14" s="172" t="s">
        <v>187</v>
      </c>
      <c r="B14" s="172"/>
      <c r="C14" s="80">
        <f>C5-C13</f>
        <v>-9400</v>
      </c>
      <c r="D14" s="55"/>
      <c r="E14" s="80">
        <f>E5-E13</f>
        <v>104240</v>
      </c>
      <c r="F14" s="55"/>
      <c r="G14" s="80">
        <f>G5-G13</f>
        <v>131880</v>
      </c>
      <c r="H14" s="55"/>
      <c r="I14" s="80">
        <f>I5-I13</f>
        <v>123080</v>
      </c>
    </row>
    <row r="15" spans="1:9" ht="15.6" x14ac:dyDescent="0.3">
      <c r="A15" s="172" t="s">
        <v>188</v>
      </c>
      <c r="B15" s="172"/>
      <c r="C15" s="55"/>
      <c r="D15" s="55"/>
      <c r="E15" s="55"/>
      <c r="F15" s="55"/>
      <c r="G15" s="55"/>
      <c r="H15" s="55"/>
      <c r="I15" s="55"/>
    </row>
    <row r="16" spans="1:9" ht="15.6" x14ac:dyDescent="0.3">
      <c r="A16" s="174" t="s">
        <v>189</v>
      </c>
      <c r="B16" s="174"/>
      <c r="C16" s="80">
        <v>60000</v>
      </c>
      <c r="D16" s="55"/>
      <c r="E16" s="55"/>
      <c r="F16" s="55"/>
      <c r="G16" s="55"/>
      <c r="H16" s="55"/>
      <c r="I16" s="80">
        <f>SUM(C16,E16,G16)</f>
        <v>60000</v>
      </c>
    </row>
    <row r="17" spans="1:9" ht="15.6" x14ac:dyDescent="0.3">
      <c r="A17" s="174" t="s">
        <v>190</v>
      </c>
      <c r="B17" s="174"/>
      <c r="C17" s="55"/>
      <c r="D17" s="55"/>
      <c r="E17" s="80">
        <v>-50000</v>
      </c>
      <c r="F17" s="55"/>
      <c r="G17" s="80">
        <v>-10000</v>
      </c>
      <c r="H17" s="55"/>
      <c r="I17" s="80">
        <f>SUM(C17,E17,G17)</f>
        <v>-60000</v>
      </c>
    </row>
    <row r="18" spans="1:9" ht="15.6" x14ac:dyDescent="0.3">
      <c r="A18" s="174" t="s">
        <v>191</v>
      </c>
      <c r="B18" s="174"/>
      <c r="C18" s="55"/>
      <c r="D18" s="55"/>
      <c r="E18" s="80">
        <f>-(60000*'Additional Information'!E39*2/12)</f>
        <v>-1200</v>
      </c>
      <c r="F18" s="55"/>
      <c r="G18" s="80">
        <f>-(10000*'Additional Information'!E39*1/12)</f>
        <v>-100</v>
      </c>
      <c r="H18" s="55"/>
      <c r="I18" s="80">
        <f>SUM(C18,E18,G18)</f>
        <v>-1300</v>
      </c>
    </row>
    <row r="19" spans="1:9" ht="15.6" x14ac:dyDescent="0.3">
      <c r="A19" s="172" t="s">
        <v>192</v>
      </c>
      <c r="B19" s="172"/>
      <c r="C19" s="79">
        <f>SUM(C16:C18)</f>
        <v>60000</v>
      </c>
      <c r="D19" s="55"/>
      <c r="E19" s="79">
        <f>SUM(E16:E18)</f>
        <v>-51200</v>
      </c>
      <c r="F19" s="55"/>
      <c r="G19" s="79">
        <f>SUM(G16:G18)</f>
        <v>-10100</v>
      </c>
      <c r="H19" s="55"/>
      <c r="I19" s="79">
        <f>SUM(C19,E19,G19)</f>
        <v>-1300</v>
      </c>
    </row>
    <row r="20" spans="1:9" ht="15.6" x14ac:dyDescent="0.3">
      <c r="A20" s="173" t="s">
        <v>193</v>
      </c>
      <c r="B20" s="173"/>
      <c r="C20" s="81">
        <f>C14+C19</f>
        <v>50600</v>
      </c>
      <c r="D20" s="60"/>
      <c r="E20" s="81">
        <f>E14+E19</f>
        <v>53040</v>
      </c>
      <c r="F20" s="60"/>
      <c r="G20" s="81">
        <f>G14+G19</f>
        <v>121780</v>
      </c>
      <c r="H20" s="60"/>
      <c r="I20" s="81">
        <f>SUM(I14+I19)</f>
        <v>121780</v>
      </c>
    </row>
  </sheetData>
  <mergeCells count="20">
    <mergeCell ref="A19:B19"/>
    <mergeCell ref="A20:B20"/>
    <mergeCell ref="A13:B13"/>
    <mergeCell ref="A14:B14"/>
    <mergeCell ref="A15:B15"/>
    <mergeCell ref="A16:B16"/>
    <mergeCell ref="A17:B17"/>
    <mergeCell ref="A18:B18"/>
    <mergeCell ref="A12:B12"/>
    <mergeCell ref="A1:E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495E-05D3-46E0-A2BF-6DF3B80E1832}">
  <dimension ref="A1:E22"/>
  <sheetViews>
    <sheetView workbookViewId="0">
      <selection activeCell="A37" sqref="A37"/>
    </sheetView>
  </sheetViews>
  <sheetFormatPr defaultRowHeight="14.4" x14ac:dyDescent="0.3"/>
  <cols>
    <col min="1" max="1" width="34.33203125" customWidth="1"/>
    <col min="2" max="5" width="15.6640625" customWidth="1"/>
    <col min="7" max="13" width="9.109375" customWidth="1"/>
  </cols>
  <sheetData>
    <row r="1" spans="1:5" ht="15.6" x14ac:dyDescent="0.3">
      <c r="A1" s="187" t="s">
        <v>2</v>
      </c>
      <c r="B1" s="188"/>
      <c r="C1" s="188"/>
      <c r="D1" s="188"/>
      <c r="E1" s="189"/>
    </row>
    <row r="2" spans="1:5" ht="15.6" x14ac:dyDescent="0.3">
      <c r="A2" s="190" t="s">
        <v>20</v>
      </c>
      <c r="B2" s="191"/>
      <c r="C2" s="191"/>
      <c r="D2" s="191"/>
      <c r="E2" s="192"/>
    </row>
    <row r="3" spans="1:5" ht="15.6" x14ac:dyDescent="0.3">
      <c r="A3" s="193" t="s">
        <v>194</v>
      </c>
      <c r="B3" s="194"/>
      <c r="C3" s="194"/>
      <c r="D3" s="194"/>
      <c r="E3" s="195"/>
    </row>
    <row r="4" spans="1:5" ht="15.6" x14ac:dyDescent="0.3">
      <c r="A4" s="193">
        <v>45016</v>
      </c>
      <c r="B4" s="194"/>
      <c r="C4" s="194"/>
      <c r="D4" s="194"/>
      <c r="E4" s="195"/>
    </row>
    <row r="5" spans="1:5" ht="15.6" x14ac:dyDescent="0.3">
      <c r="A5" s="196"/>
      <c r="B5" s="197"/>
      <c r="C5" s="197"/>
      <c r="D5" s="197"/>
      <c r="E5" s="89"/>
    </row>
    <row r="6" spans="1:5" ht="15.6" x14ac:dyDescent="0.3">
      <c r="A6" s="180" t="s">
        <v>195</v>
      </c>
      <c r="B6" s="172"/>
      <c r="C6" s="172"/>
      <c r="D6" s="172"/>
      <c r="E6" s="90">
        <f>'Sales Budget'!I5</f>
        <v>7200000</v>
      </c>
    </row>
    <row r="7" spans="1:5" ht="15.6" x14ac:dyDescent="0.3">
      <c r="A7" s="180" t="s">
        <v>196</v>
      </c>
      <c r="B7" s="172"/>
      <c r="C7" s="172"/>
      <c r="D7" s="172"/>
      <c r="E7" s="90">
        <f>B22</f>
        <v>5374285.7142857146</v>
      </c>
    </row>
    <row r="8" spans="1:5" ht="15.6" x14ac:dyDescent="0.3">
      <c r="A8" s="180" t="s">
        <v>197</v>
      </c>
      <c r="B8" s="172"/>
      <c r="C8" s="172"/>
      <c r="D8" s="172"/>
      <c r="E8" s="91">
        <f>E6-E7</f>
        <v>1825714.2857142854</v>
      </c>
    </row>
    <row r="9" spans="1:5" ht="15.6" x14ac:dyDescent="0.3">
      <c r="A9" s="180" t="s">
        <v>198</v>
      </c>
      <c r="B9" s="172"/>
      <c r="C9" s="172"/>
      <c r="D9" s="172"/>
      <c r="E9" s="90">
        <f>'Selling Admin Budget'!I7</f>
        <v>600000</v>
      </c>
    </row>
    <row r="10" spans="1:5" ht="15.6" x14ac:dyDescent="0.3">
      <c r="A10" s="180" t="s">
        <v>199</v>
      </c>
      <c r="B10" s="172"/>
      <c r="C10" s="172"/>
      <c r="D10" s="172"/>
      <c r="E10" s="91">
        <f>E8-E9</f>
        <v>1225714.2857142854</v>
      </c>
    </row>
    <row r="11" spans="1:5" ht="15.6" x14ac:dyDescent="0.3">
      <c r="A11" s="180" t="s">
        <v>200</v>
      </c>
      <c r="B11" s="172"/>
      <c r="C11" s="172"/>
      <c r="D11" s="172"/>
      <c r="E11" s="90">
        <f>-('Cash Budget'!I18)</f>
        <v>1300</v>
      </c>
    </row>
    <row r="12" spans="1:5" ht="15.6" x14ac:dyDescent="0.3">
      <c r="A12" s="185" t="s">
        <v>201</v>
      </c>
      <c r="B12" s="186"/>
      <c r="C12" s="186"/>
      <c r="D12" s="186"/>
      <c r="E12" s="92">
        <f>E10-E11</f>
        <v>1224414.2857142854</v>
      </c>
    </row>
    <row r="13" spans="1:5" ht="15.6" x14ac:dyDescent="0.3">
      <c r="A13" s="45"/>
      <c r="B13" s="45"/>
      <c r="C13" s="45"/>
      <c r="D13" s="45"/>
      <c r="E13" s="45"/>
    </row>
    <row r="14" spans="1:5" ht="15.6" x14ac:dyDescent="0.3">
      <c r="A14" s="45"/>
      <c r="B14" s="45"/>
      <c r="C14" s="45"/>
      <c r="D14" s="45"/>
      <c r="E14" s="45"/>
    </row>
    <row r="15" spans="1:5" ht="15.6" x14ac:dyDescent="0.3">
      <c r="A15" s="45"/>
      <c r="B15" s="45"/>
      <c r="C15" s="45"/>
      <c r="D15" s="45"/>
      <c r="E15" s="45"/>
    </row>
    <row r="16" spans="1:5" ht="15.6" x14ac:dyDescent="0.3">
      <c r="A16" s="45"/>
      <c r="B16" s="45"/>
      <c r="C16" s="45"/>
      <c r="D16" s="45"/>
      <c r="E16" s="45"/>
    </row>
    <row r="17" spans="1:5" ht="15.6" x14ac:dyDescent="0.3">
      <c r="A17" s="93" t="s">
        <v>202</v>
      </c>
      <c r="B17" s="93"/>
      <c r="C17" s="93"/>
      <c r="D17" s="93"/>
      <c r="E17" s="93"/>
    </row>
    <row r="18" spans="1:5" ht="15.6" x14ac:dyDescent="0.3">
      <c r="A18" s="93" t="s">
        <v>203</v>
      </c>
      <c r="B18" s="94">
        <f>'2022 Balance Sheet'!E9</f>
        <v>540000</v>
      </c>
      <c r="C18" s="93" t="s">
        <v>204</v>
      </c>
      <c r="D18" s="93"/>
      <c r="E18" s="93"/>
    </row>
    <row r="19" spans="1:5" ht="15.6" x14ac:dyDescent="0.3">
      <c r="A19" s="93" t="s">
        <v>205</v>
      </c>
      <c r="B19" s="95">
        <f>'Production Budget'!I7*'Ending Finished Goods Inventory'!G10</f>
        <v>5640000</v>
      </c>
      <c r="C19" s="93" t="s">
        <v>206</v>
      </c>
      <c r="D19" s="93"/>
      <c r="E19" s="93"/>
    </row>
    <row r="20" spans="1:5" ht="15.6" x14ac:dyDescent="0.3">
      <c r="A20" s="93" t="s">
        <v>207</v>
      </c>
      <c r="B20" s="96">
        <f>B18+B19</f>
        <v>6180000</v>
      </c>
      <c r="C20" s="93"/>
      <c r="D20" s="93"/>
      <c r="E20" s="93"/>
    </row>
    <row r="21" spans="1:5" ht="15.6" x14ac:dyDescent="0.3">
      <c r="A21" s="93" t="s">
        <v>208</v>
      </c>
      <c r="B21" s="95">
        <f>'Ending Finished Goods Inventory'!G11</f>
        <v>805714.28571428568</v>
      </c>
      <c r="C21" s="93" t="s">
        <v>209</v>
      </c>
      <c r="D21" s="93"/>
      <c r="E21" s="93"/>
    </row>
    <row r="22" spans="1:5" ht="15.6" x14ac:dyDescent="0.3">
      <c r="A22" s="93" t="s">
        <v>210</v>
      </c>
      <c r="B22" s="96">
        <f>B20-B21</f>
        <v>5374285.7142857146</v>
      </c>
      <c r="C22" s="93"/>
      <c r="D22" s="93"/>
      <c r="E22" s="93"/>
    </row>
  </sheetData>
  <mergeCells count="12">
    <mergeCell ref="A12:D12"/>
    <mergeCell ref="A1:E1"/>
    <mergeCell ref="A2:E2"/>
    <mergeCell ref="A3:E3"/>
    <mergeCell ref="A5:D5"/>
    <mergeCell ref="A6:D6"/>
    <mergeCell ref="A7:D7"/>
    <mergeCell ref="A11:D11"/>
    <mergeCell ref="A10:D10"/>
    <mergeCell ref="A9:D9"/>
    <mergeCell ref="A8:D8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CBEA-178D-487C-87F7-832F905118CC}">
  <dimension ref="A1:E27"/>
  <sheetViews>
    <sheetView workbookViewId="0">
      <selection activeCell="A20" sqref="A20:D20"/>
    </sheetView>
  </sheetViews>
  <sheetFormatPr defaultColWidth="9.109375" defaultRowHeight="14.4" x14ac:dyDescent="0.3"/>
  <cols>
    <col min="1" max="5" width="15.6640625" customWidth="1"/>
    <col min="7" max="13" width="9.109375" customWidth="1"/>
  </cols>
  <sheetData>
    <row r="1" spans="1:5" ht="15.6" x14ac:dyDescent="0.3">
      <c r="A1" s="187" t="s">
        <v>2</v>
      </c>
      <c r="B1" s="188"/>
      <c r="C1" s="188"/>
      <c r="D1" s="188"/>
      <c r="E1" s="189"/>
    </row>
    <row r="2" spans="1:5" ht="15.6" x14ac:dyDescent="0.3">
      <c r="A2" s="190" t="s">
        <v>22</v>
      </c>
      <c r="B2" s="191"/>
      <c r="C2" s="191"/>
      <c r="D2" s="191"/>
      <c r="E2" s="192"/>
    </row>
    <row r="3" spans="1:5" ht="15.6" x14ac:dyDescent="0.3">
      <c r="A3" s="193">
        <v>45016</v>
      </c>
      <c r="B3" s="194"/>
      <c r="C3" s="194"/>
      <c r="D3" s="194"/>
      <c r="E3" s="195"/>
    </row>
    <row r="4" spans="1:5" ht="15.6" x14ac:dyDescent="0.3">
      <c r="A4" s="97"/>
      <c r="B4" s="98"/>
      <c r="C4" s="98"/>
      <c r="D4" s="98"/>
      <c r="E4" s="99"/>
    </row>
    <row r="5" spans="1:5" ht="15.6" x14ac:dyDescent="0.3">
      <c r="A5" s="212" t="s">
        <v>23</v>
      </c>
      <c r="B5" s="213"/>
      <c r="C5" s="213"/>
      <c r="D5" s="213"/>
      <c r="E5" s="100">
        <f>A3</f>
        <v>45016</v>
      </c>
    </row>
    <row r="6" spans="1:5" ht="15.6" x14ac:dyDescent="0.3">
      <c r="A6" s="214" t="s">
        <v>24</v>
      </c>
      <c r="B6" s="215"/>
      <c r="C6" s="215"/>
      <c r="D6" s="215"/>
      <c r="E6" s="91">
        <f>'Cash Budget'!I20</f>
        <v>121780</v>
      </c>
    </row>
    <row r="7" spans="1:5" ht="15.6" x14ac:dyDescent="0.3">
      <c r="A7" s="198" t="s">
        <v>25</v>
      </c>
      <c r="B7" s="174"/>
      <c r="C7" s="174"/>
      <c r="D7" s="174"/>
      <c r="E7" s="90">
        <f>'Expected Cash Collections'!I22</f>
        <v>2580000</v>
      </c>
    </row>
    <row r="8" spans="1:5" ht="15.6" x14ac:dyDescent="0.3">
      <c r="A8" s="198" t="s">
        <v>211</v>
      </c>
      <c r="B8" s="174"/>
      <c r="C8" s="174"/>
      <c r="D8" s="174"/>
      <c r="E8" s="90">
        <f>C24*C25</f>
        <v>196800</v>
      </c>
    </row>
    <row r="9" spans="1:5" ht="15.6" x14ac:dyDescent="0.3">
      <c r="A9" s="198" t="s">
        <v>212</v>
      </c>
      <c r="B9" s="174"/>
      <c r="C9" s="174"/>
      <c r="D9" s="174"/>
      <c r="E9" s="90">
        <f>'Ending Finished Goods Inventory'!G11</f>
        <v>805714.28571428568</v>
      </c>
    </row>
    <row r="10" spans="1:5" ht="15.6" x14ac:dyDescent="0.3">
      <c r="A10" s="201" t="s">
        <v>28</v>
      </c>
      <c r="B10" s="173"/>
      <c r="C10" s="173"/>
      <c r="D10" s="202"/>
      <c r="E10" s="101">
        <f>SUM(E6:E9)</f>
        <v>3704294.2857142854</v>
      </c>
    </row>
    <row r="11" spans="1:5" ht="15.6" x14ac:dyDescent="0.3">
      <c r="A11" s="198" t="s">
        <v>29</v>
      </c>
      <c r="B11" s="174"/>
      <c r="C11" s="174"/>
      <c r="D11" s="174"/>
      <c r="E11" s="90">
        <f>'2022 Balance Sheet'!E11+'Additional Information'!E34-'Mfg OH Budget'!I8-'Selling Admin Budget'!I8</f>
        <v>1365000</v>
      </c>
    </row>
    <row r="12" spans="1:5" ht="15.6" x14ac:dyDescent="0.3">
      <c r="A12" s="209" t="s">
        <v>30</v>
      </c>
      <c r="B12" s="181"/>
      <c r="C12" s="181"/>
      <c r="D12" s="181"/>
      <c r="E12" s="102">
        <f>E10+E11</f>
        <v>5069294.2857142854</v>
      </c>
    </row>
    <row r="13" spans="1:5" ht="15.6" x14ac:dyDescent="0.3">
      <c r="A13" s="210" t="s">
        <v>31</v>
      </c>
      <c r="B13" s="211"/>
      <c r="C13" s="211"/>
      <c r="D13" s="211"/>
      <c r="E13" s="103"/>
    </row>
    <row r="14" spans="1:5" ht="15.6" x14ac:dyDescent="0.3">
      <c r="A14" s="203" t="s">
        <v>32</v>
      </c>
      <c r="B14" s="204"/>
      <c r="C14" s="204"/>
      <c r="D14" s="204"/>
      <c r="E14" s="91">
        <f>'Cash Disbursement Mats'!I15</f>
        <v>782880</v>
      </c>
    </row>
    <row r="15" spans="1:5" ht="15.6" x14ac:dyDescent="0.3">
      <c r="A15" s="205" t="s">
        <v>33</v>
      </c>
      <c r="B15" s="206"/>
      <c r="C15" s="206"/>
      <c r="D15" s="206"/>
      <c r="E15" s="101">
        <f>SUM(E14)</f>
        <v>782880</v>
      </c>
    </row>
    <row r="16" spans="1:5" ht="15.6" x14ac:dyDescent="0.3">
      <c r="A16" s="180" t="s">
        <v>34</v>
      </c>
      <c r="B16" s="172"/>
      <c r="C16" s="172"/>
      <c r="D16" s="172"/>
      <c r="E16" s="90">
        <v>0</v>
      </c>
    </row>
    <row r="17" spans="1:5" ht="15.6" x14ac:dyDescent="0.3">
      <c r="A17" s="207" t="s">
        <v>35</v>
      </c>
      <c r="B17" s="208"/>
      <c r="C17" s="208"/>
      <c r="D17" s="208"/>
      <c r="E17" s="104">
        <f>E15+E16</f>
        <v>782880</v>
      </c>
    </row>
    <row r="18" spans="1:5" ht="15.6" x14ac:dyDescent="0.3">
      <c r="A18" s="180" t="s">
        <v>36</v>
      </c>
      <c r="B18" s="172"/>
      <c r="C18" s="172"/>
      <c r="D18" s="172"/>
      <c r="E18" s="90">
        <v>1500000</v>
      </c>
    </row>
    <row r="19" spans="1:5" ht="15.6" x14ac:dyDescent="0.3">
      <c r="A19" s="180" t="s">
        <v>37</v>
      </c>
      <c r="B19" s="172"/>
      <c r="C19" s="172"/>
      <c r="D19" s="172"/>
      <c r="E19" s="90">
        <f>'2022 Balance Sheet'!E19+'Budgeted Income Statement'!E12-'Additional Information'!E35</f>
        <v>2786414.2857142854</v>
      </c>
    </row>
    <row r="20" spans="1:5" ht="15.6" x14ac:dyDescent="0.3">
      <c r="A20" s="199" t="s">
        <v>38</v>
      </c>
      <c r="B20" s="200"/>
      <c r="C20" s="200"/>
      <c r="D20" s="200"/>
      <c r="E20" s="105">
        <f>SUM(E17:E19)</f>
        <v>5069294.2857142854</v>
      </c>
    </row>
    <row r="21" spans="1:5" ht="15.6" x14ac:dyDescent="0.3">
      <c r="A21" s="45"/>
      <c r="B21" s="45"/>
      <c r="C21" s="45"/>
      <c r="D21" s="45"/>
      <c r="E21" s="45"/>
    </row>
    <row r="22" spans="1:5" ht="15.6" x14ac:dyDescent="0.3">
      <c r="A22" s="45"/>
      <c r="B22" s="45"/>
      <c r="C22" s="45"/>
      <c r="D22" s="45"/>
      <c r="E22" s="45"/>
    </row>
    <row r="23" spans="1:5" ht="15.6" x14ac:dyDescent="0.3">
      <c r="A23" s="172" t="s">
        <v>202</v>
      </c>
      <c r="B23" s="172"/>
      <c r="C23" s="172"/>
      <c r="D23" s="45"/>
      <c r="E23" s="45"/>
    </row>
    <row r="24" spans="1:5" ht="15.6" x14ac:dyDescent="0.3">
      <c r="A24" s="172" t="s">
        <v>211</v>
      </c>
      <c r="B24" s="172"/>
      <c r="C24" s="70">
        <f>'Direct Mats Budget'!I6</f>
        <v>24600</v>
      </c>
      <c r="D24" s="45"/>
      <c r="E24" s="45"/>
    </row>
    <row r="25" spans="1:5" ht="15.6" x14ac:dyDescent="0.3">
      <c r="A25" s="172" t="s">
        <v>213</v>
      </c>
      <c r="B25" s="172"/>
      <c r="C25" s="106">
        <f>'Ending Finished Goods Inventory'!F4</f>
        <v>8</v>
      </c>
      <c r="D25" s="45"/>
      <c r="E25" s="45"/>
    </row>
    <row r="26" spans="1:5" ht="15.6" x14ac:dyDescent="0.3">
      <c r="A26" s="45"/>
      <c r="B26" s="45"/>
      <c r="C26" s="45"/>
      <c r="D26" s="45"/>
      <c r="E26" s="45"/>
    </row>
    <row r="27" spans="1:5" ht="15.6" x14ac:dyDescent="0.3">
      <c r="A27" s="172" t="s">
        <v>214</v>
      </c>
      <c r="B27" s="172"/>
      <c r="C27" s="74">
        <f>E12-E20</f>
        <v>0</v>
      </c>
      <c r="D27" s="45"/>
      <c r="E27" s="45"/>
    </row>
  </sheetData>
  <mergeCells count="23">
    <mergeCell ref="A12:D12"/>
    <mergeCell ref="A13:D13"/>
    <mergeCell ref="A1:E1"/>
    <mergeCell ref="A2:E2"/>
    <mergeCell ref="A3:E3"/>
    <mergeCell ref="A5:D5"/>
    <mergeCell ref="A6:D6"/>
    <mergeCell ref="A27:B27"/>
    <mergeCell ref="A23:C23"/>
    <mergeCell ref="A7:D7"/>
    <mergeCell ref="A20:D20"/>
    <mergeCell ref="A10:D10"/>
    <mergeCell ref="A11:D11"/>
    <mergeCell ref="A14:D14"/>
    <mergeCell ref="A15:D15"/>
    <mergeCell ref="A16:D16"/>
    <mergeCell ref="A17:D17"/>
    <mergeCell ref="A18:D18"/>
    <mergeCell ref="A19:D19"/>
    <mergeCell ref="A24:B24"/>
    <mergeCell ref="A25:B25"/>
    <mergeCell ref="A8:D8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 Sheet</vt:lpstr>
      <vt:lpstr>2022 Balance Sheet</vt:lpstr>
      <vt:lpstr>Additional Information</vt:lpstr>
      <vt:lpstr>Sales Budget</vt:lpstr>
      <vt:lpstr>Expected Cash Collections</vt:lpstr>
      <vt:lpstr>Production Budget</vt:lpstr>
      <vt:lpstr>Direct Mats Budget</vt:lpstr>
      <vt:lpstr>Cash Disbursement Mats</vt:lpstr>
      <vt:lpstr>Direct Labor Budget</vt:lpstr>
      <vt:lpstr>Mfg OH Budget</vt:lpstr>
      <vt:lpstr>Selling Admin Budget</vt:lpstr>
      <vt:lpstr>Ending Finished Goods Inventory</vt:lpstr>
      <vt:lpstr>Cash Budget</vt:lpstr>
      <vt:lpstr>Budgeted Income Statement</vt:lpstr>
      <vt:lpstr>Budgeted Balance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Jeffrey Hill</cp:lastModifiedBy>
  <cp:revision/>
  <dcterms:created xsi:type="dcterms:W3CDTF">2024-05-28T01:09:19Z</dcterms:created>
  <dcterms:modified xsi:type="dcterms:W3CDTF">2024-06-01T22:23:08Z</dcterms:modified>
  <cp:category/>
  <cp:contentStatus/>
</cp:coreProperties>
</file>